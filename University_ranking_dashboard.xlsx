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tables/table3.xml" ContentType="application/vnd.openxmlformats-officedocument.spreadsheetml.table+xml"/>
  <Override PartName="/xl/queryTables/queryTable2.xml" ContentType="application/vnd.openxmlformats-officedocument.spreadsheetml.queryTable+xml"/>
  <Override PartName="/xl/tables/table4.xml" ContentType="application/vnd.openxmlformats-officedocument.spreadsheetml.table+xml"/>
  <Override PartName="/xl/queryTables/queryTable3.xml" ContentType="application/vnd.openxmlformats-officedocument.spreadsheetml.queryTable+xml"/>
  <Override PartName="/xl/tables/table5.xml" ContentType="application/vnd.openxmlformats-officedocument.spreadsheetml.table+xml"/>
  <Override PartName="/xl/queryTables/queryTable4.xml" ContentType="application/vnd.openxmlformats-officedocument.spreadsheetml.query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3.xml" ContentType="application/vnd.openxmlformats-officedocument.drawing+xml"/>
  <Override PartName="/xl/drawings/drawing4.xml" ContentType="application/vnd.openxmlformats-officedocument.drawing+xml"/>
  <Override PartName="/xl/slicers/slicer2.xml" ContentType="application/vnd.ms-excel.slicer+xml"/>
  <Override PartName="/xl/charts/chart10.xml" ContentType="application/vnd.openxmlformats-officedocument.drawingml.chart+xml"/>
  <Override PartName="/xl/charts/chart11.xml" ContentType="application/vnd.openxmlformats-officedocument.drawingml.chart+xml"/>
  <Override PartName="/xl/charts/style9.xml" ContentType="application/vnd.ms-office.chartstyle+xml"/>
  <Override PartName="/xl/charts/colors9.xml" ContentType="application/vnd.ms-office.chartcolorstyle+xml"/>
  <Override PartName="/xl/charts/chart12.xml" ContentType="application/vnd.openxmlformats-officedocument.drawingml.chart+xml"/>
  <Override PartName="/xl/charts/style10.xml" ContentType="application/vnd.ms-office.chartstyle+xml"/>
  <Override PartName="/xl/charts/colors10.xml" ContentType="application/vnd.ms-office.chartcolorstyle+xml"/>
  <Override PartName="/xl/charts/chart13.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hidePivotFieldList="1"/>
  <mc:AlternateContent xmlns:mc="http://schemas.openxmlformats.org/markup-compatibility/2006">
    <mc:Choice Requires="x15">
      <x15ac:absPath xmlns:x15ac="http://schemas.microsoft.com/office/spreadsheetml/2010/11/ac" url="F:\University ranking\Excel\"/>
    </mc:Choice>
  </mc:AlternateContent>
  <xr:revisionPtr revIDLastSave="0" documentId="13_ncr:1_{F9B14937-74B9-4240-B400-CB95D9C45315}" xr6:coauthVersionLast="47" xr6:coauthVersionMax="47" xr10:uidLastSave="{00000000-0000-0000-0000-000000000000}"/>
  <bookViews>
    <workbookView xWindow="-108" yWindow="-108" windowWidth="23256" windowHeight="12576" firstSheet="1" activeTab="8" xr2:uid="{00000000-000D-0000-FFFF-FFFF00000000}"/>
  </bookViews>
  <sheets>
    <sheet name="dashboard (2)" sheetId="9" r:id="rId1"/>
    <sheet name="chart" sheetId="5" r:id="rId2"/>
    <sheet name="Merge1" sheetId="7" r:id="rId3"/>
    <sheet name="top 5 institute" sheetId="6" r:id="rId4"/>
    <sheet name="Institute_ranking" sheetId="4" r:id="rId5"/>
    <sheet name="Institute_location" sheetId="3" r:id="rId6"/>
    <sheet name="Institute_details" sheetId="2" r:id="rId7"/>
    <sheet name="kpis" sheetId="1" r:id="rId8"/>
    <sheet name="dashboard" sheetId="8" r:id="rId9"/>
    <sheet name="Sheet3" sheetId="10" r:id="rId10"/>
  </sheets>
  <definedNames>
    <definedName name="_xlcn.WorksheetConnection_University_ranking_dashboard.xlsxInstitute_details1" hidden="1">Institute_details[]</definedName>
    <definedName name="_xlcn.WorksheetConnection_University_ranking_dashboard.xlsxInstitute_location1" hidden="1">Institute_location[]</definedName>
    <definedName name="_xlcn.WorksheetConnection_University_ranking_dashboard.xlsxInstitute_ranking1" hidden="1">Institute_ranking[]</definedName>
    <definedName name="_xlcn.WorksheetConnection_University_ranking_dashboard.xlsxMerge11" hidden="1">Merge1[]</definedName>
    <definedName name="ExternalData_1" localSheetId="6" hidden="1">Institute_details!$A$1:$B$101</definedName>
    <definedName name="ExternalData_2" localSheetId="5" hidden="1">Institute_location!$A$1:$C$101</definedName>
    <definedName name="ExternalData_3" localSheetId="4" hidden="1">Institute_ranking!$A$1:$F$101</definedName>
    <definedName name="ExternalData_4" localSheetId="3" hidden="1">'top 5 institute'!$A$1:$E$101</definedName>
    <definedName name="ExternalData_5" localSheetId="2" hidden="1">Merge1!$A$1:$D$101</definedName>
    <definedName name="Slicer_Grade">#N/A</definedName>
    <definedName name="Slicer_State">#N/A</definedName>
  </definedNames>
  <calcPr calcId="191029"/>
  <pivotCaches>
    <pivotCache cacheId="0" r:id="rId11"/>
    <pivotCache cacheId="1" r:id="rId12"/>
    <pivotCache cacheId="2" r:id="rId13"/>
    <pivotCache cacheId="3" r:id="rId14"/>
    <pivotCache cacheId="4" r:id="rId15"/>
    <pivotCache cacheId="5" r:id="rId16"/>
    <pivotCache cacheId="6" r:id="rId17"/>
    <pivotCache cacheId="7" r:id="rId18"/>
  </pivotCaches>
  <extLst>
    <ext xmlns:x14="http://schemas.microsoft.com/office/spreadsheetml/2009/9/main" uri="{876F7934-8845-4945-9796-88D515C7AA90}">
      <x14:pivotCaches>
        <pivotCache cacheId="8" r:id="rId19"/>
      </x14:pivotCaches>
    </ext>
    <ext xmlns:x14="http://schemas.microsoft.com/office/spreadsheetml/2009/9/main" uri="{BBE1A952-AA13-448e-AADC-164F8A28A991}">
      <x14:slicerCaches>
        <x14:slicerCache r:id="rId20"/>
        <x14:slicerCache r:id="rId2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Merge1" name="Merge1" connection="WorksheetConnection_University_ranking_dashboard.xlsx!Merge1"/>
          <x15:modelTable id="Institute_ranking" name="Institute_ranking" connection="WorksheetConnection_University_ranking_dashboard.xlsx!Institute_ranking"/>
          <x15:modelTable id="Institute_location" name="Institute_location" connection="WorksheetConnection_University_ranking_dashboard.xlsx!Institute_location"/>
          <x15:modelTable id="Institute_details" name="Institute_details" connection="WorksheetConnection_University_ranking_dashboard.xlsx!Institute_details"/>
        </x15:modelTables>
        <x15:modelRelationships>
          <x15:modelRelationship fromTable="Institute_details" fromColumn="Institute ID" toTable="Institute_location" toColumn="Institute ID"/>
          <x15:modelRelationship fromTable="Institute_details" fromColumn="Institute ID" toTable="Institute_ranking" toColumn="Institute ID"/>
        </x15:modelRelationships>
      </x15:dataModel>
    </ext>
  </extLst>
</workbook>
</file>

<file path=xl/calcChain.xml><?xml version="1.0" encoding="utf-8"?>
<calcChain xmlns="http://schemas.openxmlformats.org/spreadsheetml/2006/main">
  <c r="G7" i="1" l="1"/>
  <c r="E7" i="1"/>
  <c r="A7"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23C1C7F-95BF-4316-9796-7C1A986262D9}" keepAlive="1" name="Query - Institute_details" description="Connection to the 'Institute_details' query in the workbook." type="5" refreshedVersion="8" background="1" saveData="1">
    <dbPr connection="Provider=Microsoft.Mashup.OleDb.1;Data Source=$Workbook$;Location=Institute_details;Extended Properties=&quot;&quot;" command="SELECT * FROM [Institute_details]"/>
  </connection>
  <connection id="2" xr16:uid="{4991B782-38B9-49AB-A817-0F63C40CCD45}" keepAlive="1" name="Query - Institute_location" description="Connection to the 'Institute_location' query in the workbook." type="5" refreshedVersion="8" background="1" saveData="1">
    <dbPr connection="Provider=Microsoft.Mashup.OleDb.1;Data Source=$Workbook$;Location=Institute_location;Extended Properties=&quot;&quot;" command="SELECT * FROM [Institute_location]"/>
  </connection>
  <connection id="3" xr16:uid="{02BBD7D3-CA4E-4358-BC47-3B79EB6C3892}" keepAlive="1" name="Query - Institute_ranking" description="Connection to the 'Institute_ranking' query in the workbook." type="5" refreshedVersion="8" background="1" saveData="1">
    <dbPr connection="Provider=Microsoft.Mashup.OleDb.1;Data Source=$Workbook$;Location=Institute_ranking;Extended Properties=&quot;&quot;" command="SELECT * FROM [Institute_ranking]"/>
  </connection>
  <connection id="4" xr16:uid="{B58F8983-3BB0-4671-A811-838776683030}" keepAlive="1" name="Query - Merge1" description="Connection to the 'Merge1' query in the workbook." type="5" refreshedVersion="8" background="1" saveData="1">
    <dbPr connection="Provider=Microsoft.Mashup.OleDb.1;Data Source=$Workbook$;Location=Merge1;Extended Properties=&quot;&quot;" command="SELECT * FROM [Merge1]"/>
  </connection>
  <connection id="5" xr16:uid="{8ECF3B45-F0B4-446B-88B8-6B646B7DCADA}"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6" xr16:uid="{0E1B60EC-8602-4B2D-A0D5-87CB1C4EAD3D}" name="WorksheetConnection_University_ranking_dashboard.xlsx!Institute_details" type="102" refreshedVersion="8" minRefreshableVersion="5">
    <extLst>
      <ext xmlns:x15="http://schemas.microsoft.com/office/spreadsheetml/2010/11/main" uri="{DE250136-89BD-433C-8126-D09CA5730AF9}">
        <x15:connection id="Institute_details">
          <x15:rangePr sourceName="_xlcn.WorksheetConnection_University_ranking_dashboard.xlsxInstitute_details1"/>
        </x15:connection>
      </ext>
    </extLst>
  </connection>
  <connection id="7" xr16:uid="{39D261C4-CD1A-4DFE-BE59-C51E4302143E}" name="WorksheetConnection_University_ranking_dashboard.xlsx!Institute_location" type="102" refreshedVersion="8" minRefreshableVersion="5">
    <extLst>
      <ext xmlns:x15="http://schemas.microsoft.com/office/spreadsheetml/2010/11/main" uri="{DE250136-89BD-433C-8126-D09CA5730AF9}">
        <x15:connection id="Institute_location">
          <x15:rangePr sourceName="_xlcn.WorksheetConnection_University_ranking_dashboard.xlsxInstitute_location1"/>
        </x15:connection>
      </ext>
    </extLst>
  </connection>
  <connection id="8" xr16:uid="{0DA8343C-78E1-4EF5-8B2A-A350B525D8A4}" name="WorksheetConnection_University_ranking_dashboard.xlsx!Institute_ranking" type="102" refreshedVersion="8" minRefreshableVersion="5">
    <extLst>
      <ext xmlns:x15="http://schemas.microsoft.com/office/spreadsheetml/2010/11/main" uri="{DE250136-89BD-433C-8126-D09CA5730AF9}">
        <x15:connection id="Institute_ranking">
          <x15:rangePr sourceName="_xlcn.WorksheetConnection_University_ranking_dashboard.xlsxInstitute_ranking1"/>
        </x15:connection>
      </ext>
    </extLst>
  </connection>
  <connection id="9" xr16:uid="{61F946CB-464E-4FE5-9968-26CB3BA106F8}" name="WorksheetConnection_University_ranking_dashboard.xlsx!Merge1" type="102" refreshedVersion="8" minRefreshableVersion="5">
    <extLst>
      <ext xmlns:x15="http://schemas.microsoft.com/office/spreadsheetml/2010/11/main" uri="{DE250136-89BD-433C-8126-D09CA5730AF9}">
        <x15:connection id="Merge1">
          <x15:rangePr sourceName="_xlcn.WorksheetConnection_University_ranking_dashboard.xlsxMerge11"/>
        </x15:connection>
      </ext>
    </extLst>
  </connection>
</connections>
</file>

<file path=xl/sharedStrings.xml><?xml version="1.0" encoding="utf-8"?>
<sst xmlns="http://schemas.openxmlformats.org/spreadsheetml/2006/main" count="1619" uniqueCount="513">
  <si>
    <t>Institute ID</t>
  </si>
  <si>
    <t>Name</t>
  </si>
  <si>
    <t>IR-O-U-0220</t>
  </si>
  <si>
    <t>Indian Institute of Science</t>
  </si>
  <si>
    <t>IR-O-U-0109</t>
  </si>
  <si>
    <t xml:space="preserve">Jawaharlal Nehru University </t>
  </si>
  <si>
    <t>IR-O-U-0108</t>
  </si>
  <si>
    <t xml:space="preserve">Jamia Millia Islamia </t>
  </si>
  <si>
    <t>IR-O-U-0234</t>
  </si>
  <si>
    <t>Manipal Academy of Higher Education</t>
  </si>
  <si>
    <t>IR-O-U-0500</t>
  </si>
  <si>
    <t xml:space="preserve">Banaras Hindu University </t>
  </si>
  <si>
    <t>IR-O-U-0120</t>
  </si>
  <si>
    <t xml:space="preserve">University of Delhi </t>
  </si>
  <si>
    <t>IR-O-U-0436</t>
  </si>
  <si>
    <t xml:space="preserve">Amrita Vishwa Vidyapeetham </t>
  </si>
  <si>
    <t>IR-O-U-0496</t>
  </si>
  <si>
    <t xml:space="preserve">Aligarh Muslim University </t>
  </si>
  <si>
    <t>IR-O-U-0575</t>
  </si>
  <si>
    <t xml:space="preserve">Jadavpur University </t>
  </si>
  <si>
    <t>IR-O-U-0490</t>
  </si>
  <si>
    <t xml:space="preserve">Vellore Institute of Technology </t>
  </si>
  <si>
    <t>IR-O-I-1441</t>
  </si>
  <si>
    <t xml:space="preserve">Saveetha Institute of Medical and Technical Sciences </t>
  </si>
  <si>
    <t>IR-O-U-0473</t>
  </si>
  <si>
    <t xml:space="preserve">S.R.M. Institute of Science and Technology </t>
  </si>
  <si>
    <t>IR-O-U-0439</t>
  </si>
  <si>
    <t xml:space="preserve">Anna University </t>
  </si>
  <si>
    <t>IR-O-U-0363</t>
  </si>
  <si>
    <t xml:space="preserve">Siksha `O` Anusandhan </t>
  </si>
  <si>
    <t>IR-O-U-0356</t>
  </si>
  <si>
    <t xml:space="preserve">Kalinga Institute of Industrial Technology </t>
  </si>
  <si>
    <t>IR-O-U-0304</t>
  </si>
  <si>
    <t xml:space="preserve">Homi Bhabha National Institute </t>
  </si>
  <si>
    <t>IR-O-U-0042</t>
  </si>
  <si>
    <t xml:space="preserve">University of Hyderabad </t>
  </si>
  <si>
    <t>IR-O-U-0570</t>
  </si>
  <si>
    <t xml:space="preserve">Calcutta University </t>
  </si>
  <si>
    <t>IR-O-U-0391</t>
  </si>
  <si>
    <t>Birla Institute of Technology and Science</t>
  </si>
  <si>
    <t>IR-O-U-0747</t>
  </si>
  <si>
    <t xml:space="preserve">Chandigarh University </t>
  </si>
  <si>
    <t>IR-O-U-0260</t>
  </si>
  <si>
    <t xml:space="preserve">Kerala University </t>
  </si>
  <si>
    <t>IR-O-U-0020</t>
  </si>
  <si>
    <t xml:space="preserve">Koneru Lakshmaiah Education Foundation University (K L College of Engineering) </t>
  </si>
  <si>
    <t>IR-O-U-0323</t>
  </si>
  <si>
    <t xml:space="preserve">Savitribai Phule Pune University </t>
  </si>
  <si>
    <t>IR-O-U-0222</t>
  </si>
  <si>
    <t xml:space="preserve">JSS Academy of Higher Education and Research </t>
  </si>
  <si>
    <t>IR-O-U-0006</t>
  </si>
  <si>
    <t xml:space="preserve">Andhra University </t>
  </si>
  <si>
    <t>IR-O-U-0447</t>
  </si>
  <si>
    <t xml:space="preserve">Bharathiar University </t>
  </si>
  <si>
    <t>IR-O-U-0379</t>
  </si>
  <si>
    <t xml:space="preserve">Lovely Professional University </t>
  </si>
  <si>
    <t>IR-O-U-0476</t>
  </si>
  <si>
    <t xml:space="preserve">Shanmugha Arts Science Technology and Research Academy </t>
  </si>
  <si>
    <t>IR-O-I-1480</t>
  </si>
  <si>
    <t xml:space="preserve">Thapar Institute of Engineering and Technology (Deemed-to-be-university) </t>
  </si>
  <si>
    <t>IR-O-U-0458</t>
  </si>
  <si>
    <t xml:space="preserve">Kalasalingam Academy of Research and Education </t>
  </si>
  <si>
    <t>IR-O-U-0329</t>
  </si>
  <si>
    <t xml:space="preserve">Symbiosis International </t>
  </si>
  <si>
    <t>IR-O-U-0497</t>
  </si>
  <si>
    <t xml:space="preserve">Amity University </t>
  </si>
  <si>
    <t>IR-O-U-0498</t>
  </si>
  <si>
    <t xml:space="preserve">Babasaheb Bhimrao Ambedkar University </t>
  </si>
  <si>
    <t>IR-O-U-0253</t>
  </si>
  <si>
    <t xml:space="preserve">Cochin University of Science and Technology </t>
  </si>
  <si>
    <t>IR-O-U-0308</t>
  </si>
  <si>
    <t xml:space="preserve">Institute of Chemical Technology </t>
  </si>
  <si>
    <t>IR-O-U-0448</t>
  </si>
  <si>
    <t xml:space="preserve">Bharathidasan University </t>
  </si>
  <si>
    <t>IR-O-U-0262</t>
  </si>
  <si>
    <t xml:space="preserve">Mahatma Gandhi University </t>
  </si>
  <si>
    <t>IR-O-U-0078</t>
  </si>
  <si>
    <t xml:space="preserve">Panjab University </t>
  </si>
  <si>
    <t>IR-O-I-1357</t>
  </si>
  <si>
    <t xml:space="preserve">University of Madras </t>
  </si>
  <si>
    <t>IR-O-U-0052</t>
  </si>
  <si>
    <t xml:space="preserve">Gauhati University </t>
  </si>
  <si>
    <t>IR-O-U-0107</t>
  </si>
  <si>
    <t xml:space="preserve">Jamia Hamdard </t>
  </si>
  <si>
    <t>IR-O-U-0295</t>
  </si>
  <si>
    <t xml:space="preserve">Datta Meghe Institute of Higher Education and Research </t>
  </si>
  <si>
    <t>IR-O-U-0027</t>
  </si>
  <si>
    <t xml:space="preserve">Osmania University </t>
  </si>
  <si>
    <t>IR-O-I-1110</t>
  </si>
  <si>
    <t xml:space="preserve">Dr. D. Y. Patil Vidyapeeth </t>
  </si>
  <si>
    <t>IR-O-U-0196</t>
  </si>
  <si>
    <t xml:space="preserve">University of Kashmir </t>
  </si>
  <si>
    <t>IR-O-U-0564</t>
  </si>
  <si>
    <t xml:space="preserve">UPES </t>
  </si>
  <si>
    <t>IR-O-U-0435</t>
  </si>
  <si>
    <t xml:space="preserve">Alagappa University </t>
  </si>
  <si>
    <t>IR-O-U-0098</t>
  </si>
  <si>
    <t xml:space="preserve">Delhi Technological University </t>
  </si>
  <si>
    <t>IR-O-N-10</t>
  </si>
  <si>
    <t xml:space="preserve">SVKM`s Narsee Monjee Institute of Management Studies  </t>
  </si>
  <si>
    <t>IR-O-U-0195</t>
  </si>
  <si>
    <t xml:space="preserve">University of Jammu </t>
  </si>
  <si>
    <t>IR-O-U-0474</t>
  </si>
  <si>
    <t xml:space="preserve">Sathyabama Institute of Science and Technology </t>
  </si>
  <si>
    <t>IR-O-U-0555</t>
  </si>
  <si>
    <t xml:space="preserve">Graphic Era University </t>
  </si>
  <si>
    <t>IR-O-U-0523</t>
  </si>
  <si>
    <t xml:space="preserve">King George`s Medical University </t>
  </si>
  <si>
    <t>IR-O-U-0235</t>
  </si>
  <si>
    <t xml:space="preserve">Mysore University </t>
  </si>
  <si>
    <t>IR-O-I-1486</t>
  </si>
  <si>
    <t xml:space="preserve">Sri Ramachandra Institute of Higher Education and Research </t>
  </si>
  <si>
    <t>IR-O-U-0470</t>
  </si>
  <si>
    <t xml:space="preserve">Periyar University </t>
  </si>
  <si>
    <t>IR-O-U-0381</t>
  </si>
  <si>
    <t xml:space="preserve">Punjab Agricultural University </t>
  </si>
  <si>
    <t>IR-O-U-0331</t>
  </si>
  <si>
    <t xml:space="preserve">Tata Institute of Social Sciences </t>
  </si>
  <si>
    <t>IR-O-U-0003</t>
  </si>
  <si>
    <t xml:space="preserve">Acharya Nagarjuna University </t>
  </si>
  <si>
    <t>IR-O-U-0217</t>
  </si>
  <si>
    <t xml:space="preserve">Christ University </t>
  </si>
  <si>
    <t>IR-O-U-0318</t>
  </si>
  <si>
    <t xml:space="preserve">Mumbai University </t>
  </si>
  <si>
    <t>IR-O-U-0642</t>
  </si>
  <si>
    <t xml:space="preserve">Shiv Nadar University </t>
  </si>
  <si>
    <t>IR-O-U-0463</t>
  </si>
  <si>
    <t xml:space="preserve">Madurai Kamaraj University </t>
  </si>
  <si>
    <t>IR-O-U-0749</t>
  </si>
  <si>
    <t>Manipal University</t>
  </si>
  <si>
    <t>IR-O-U-0223</t>
  </si>
  <si>
    <t>Jain University</t>
  </si>
  <si>
    <t>IR-O-U-0239</t>
  </si>
  <si>
    <t xml:space="preserve">NITTE </t>
  </si>
  <si>
    <t>IR-O-U-0389</t>
  </si>
  <si>
    <t xml:space="preserve">Banasthali Vidyapith </t>
  </si>
  <si>
    <t>IR-O-U-0370</t>
  </si>
  <si>
    <t xml:space="preserve">Sri Balaji Vidyapeeth Mahatma Gandhi Medical College </t>
  </si>
  <si>
    <t>IR-O-U-0056</t>
  </si>
  <si>
    <t xml:space="preserve">Tezpur University </t>
  </si>
  <si>
    <t>IR-O-U-0190</t>
  </si>
  <si>
    <t xml:space="preserve">Shoolini University of Biotechnology and Management Sciences </t>
  </si>
  <si>
    <t>IR-O-U-0168</t>
  </si>
  <si>
    <t xml:space="preserve">Maharishi Markandeshwar (Deemed to be University) </t>
  </si>
  <si>
    <t>IR-O-U-0043</t>
  </si>
  <si>
    <t>Vignan's Foundation for Science</t>
  </si>
  <si>
    <t>IR-O-U-0446</t>
  </si>
  <si>
    <t xml:space="preserve">Bharath Institute of Higher Education and Research </t>
  </si>
  <si>
    <t>IR-O-U-0014</t>
  </si>
  <si>
    <t xml:space="preserve">International Institute of Information Technology Hyderabad </t>
  </si>
  <si>
    <t>IR-O-U-0249</t>
  </si>
  <si>
    <t xml:space="preserve">Visvesvaraya Technological University </t>
  </si>
  <si>
    <t>IR-O-U-0136</t>
  </si>
  <si>
    <t xml:space="preserve">Gujarat University </t>
  </si>
  <si>
    <t>IR-O-U-0345</t>
  </si>
  <si>
    <t xml:space="preserve">Mizoram University </t>
  </si>
  <si>
    <t>IR-O-I-1361</t>
  </si>
  <si>
    <t xml:space="preserve">Bharati Vidyapeeth </t>
  </si>
  <si>
    <t>IR-O-U-0451</t>
  </si>
  <si>
    <t xml:space="preserve">Chettinad Academy of Research and Education </t>
  </si>
  <si>
    <t>IR-O-U-0099</t>
  </si>
  <si>
    <t xml:space="preserve">Guru Gobind Singh Indraprastha University </t>
  </si>
  <si>
    <t>IR-O-U-0215</t>
  </si>
  <si>
    <t xml:space="preserve">Bangalore University </t>
  </si>
  <si>
    <t>IR-O-U-0202</t>
  </si>
  <si>
    <t xml:space="preserve">Birla Institute of Technology </t>
  </si>
  <si>
    <t>IR-O-U-0372</t>
  </si>
  <si>
    <t xml:space="preserve">Central University of Punjab </t>
  </si>
  <si>
    <t>IR-O-U-0485</t>
  </si>
  <si>
    <t xml:space="preserve">Tamil Nadu Agricultural University </t>
  </si>
  <si>
    <t>IR-O-U-0384</t>
  </si>
  <si>
    <t xml:space="preserve">Sant Longowal Institute of Engineering and Technology </t>
  </si>
  <si>
    <t>IR-O-U-0541</t>
  </si>
  <si>
    <t xml:space="preserve">Sharda University </t>
  </si>
  <si>
    <t>IR-O-U-0037</t>
  </si>
  <si>
    <t xml:space="preserve">Sri Venkateswara University </t>
  </si>
  <si>
    <t>IR-O-U-0554</t>
  </si>
  <si>
    <t xml:space="preserve">G.B. Pant Universtiy of Agriculture and Technology </t>
  </si>
  <si>
    <t>IR-O-U-0251</t>
  </si>
  <si>
    <t xml:space="preserve">Calicut University </t>
  </si>
  <si>
    <t>IR-O-U-0248</t>
  </si>
  <si>
    <t xml:space="preserve">University of Agricultural Sciences </t>
  </si>
  <si>
    <t>IR-O-U-0373</t>
  </si>
  <si>
    <t xml:space="preserve">Chitkara University </t>
  </si>
  <si>
    <t>IR-O-U-0169</t>
  </si>
  <si>
    <t xml:space="preserve">Manav Rachna International Institute of Research and Studies </t>
  </si>
  <si>
    <t>IR-O-U-0464</t>
  </si>
  <si>
    <t>Manonmaniam Sundaranar University</t>
  </si>
  <si>
    <t>IR-O-U-0739</t>
  </si>
  <si>
    <t xml:space="preserve">Madan Mohan Malaviya University of Technology </t>
  </si>
  <si>
    <t>IR-O-U-0250</t>
  </si>
  <si>
    <t xml:space="preserve">Yenepoya University </t>
  </si>
  <si>
    <t>IR-O-U-0489</t>
  </si>
  <si>
    <t xml:space="preserve">Vel Tech Rangarajan Dr. Sagunthala R &amp; D Institute of Science and Technology </t>
  </si>
  <si>
    <t>IR-O-U-0524</t>
  </si>
  <si>
    <t xml:space="preserve">University of Lucknow </t>
  </si>
  <si>
    <t>IR-O-U-0444</t>
  </si>
  <si>
    <t xml:space="preserve">Avinashilingam Institute for Home Science and Higher Education for Women </t>
  </si>
  <si>
    <t>IR-O-U-0449</t>
  </si>
  <si>
    <t xml:space="preserve">Central University of Tamil Nadu </t>
  </si>
  <si>
    <t>IR-O-C-6379</t>
  </si>
  <si>
    <t xml:space="preserve">Netaji Subhas University of Technology (NSUT) </t>
  </si>
  <si>
    <t>City</t>
  </si>
  <si>
    <t>State</t>
  </si>
  <si>
    <t>Bengaluru</t>
  </si>
  <si>
    <t>Karnataka</t>
  </si>
  <si>
    <t>New Delhi</t>
  </si>
  <si>
    <t>Delhi</t>
  </si>
  <si>
    <t>Manipal</t>
  </si>
  <si>
    <t>Varanasi</t>
  </si>
  <si>
    <t>Uttar Pradesh</t>
  </si>
  <si>
    <t>Coimbatore</t>
  </si>
  <si>
    <t>Tamil Nadu</t>
  </si>
  <si>
    <t>Aligarh</t>
  </si>
  <si>
    <t>Kolkata</t>
  </si>
  <si>
    <t>West Bengal</t>
  </si>
  <si>
    <t>Vellore</t>
  </si>
  <si>
    <t>Chennai</t>
  </si>
  <si>
    <t>Bhubaneswar</t>
  </si>
  <si>
    <t>Odisha</t>
  </si>
  <si>
    <t>Mumbai</t>
  </si>
  <si>
    <t>Maharashtra</t>
  </si>
  <si>
    <t>Hyderabad</t>
  </si>
  <si>
    <t>Telangana</t>
  </si>
  <si>
    <t>Pilani</t>
  </si>
  <si>
    <t>Rajasthan</t>
  </si>
  <si>
    <t>Mohali</t>
  </si>
  <si>
    <t>Punjab</t>
  </si>
  <si>
    <t>Thiruvananthapuram</t>
  </si>
  <si>
    <t>Kerala</t>
  </si>
  <si>
    <t>Vaddeswaram</t>
  </si>
  <si>
    <t>Andhra Pradesh</t>
  </si>
  <si>
    <t>Pune</t>
  </si>
  <si>
    <t>Mysuru</t>
  </si>
  <si>
    <t>Visakhapatnam</t>
  </si>
  <si>
    <t>Phagwara</t>
  </si>
  <si>
    <t>Thanjavur</t>
  </si>
  <si>
    <t>Patiala</t>
  </si>
  <si>
    <t>Srivilliputhur</t>
  </si>
  <si>
    <t>Gautam Budh Nagar</t>
  </si>
  <si>
    <t>Lucknow</t>
  </si>
  <si>
    <t>Cochin</t>
  </si>
  <si>
    <t>Tiruchirappalli</t>
  </si>
  <si>
    <t>Kottayam</t>
  </si>
  <si>
    <t>Chandigarh</t>
  </si>
  <si>
    <t>Guwahati</t>
  </si>
  <si>
    <t>Assam</t>
  </si>
  <si>
    <t>Wardha</t>
  </si>
  <si>
    <t>Srinagar</t>
  </si>
  <si>
    <t>Jammu and Kashmir</t>
  </si>
  <si>
    <t>Dehradun</t>
  </si>
  <si>
    <t>Uttarakhand</t>
  </si>
  <si>
    <t>Karaikudi</t>
  </si>
  <si>
    <t>Jammu</t>
  </si>
  <si>
    <t>Salem</t>
  </si>
  <si>
    <t>Ludhiana</t>
  </si>
  <si>
    <t>Guntur</t>
  </si>
  <si>
    <t>Gautam Buddha Nagar</t>
  </si>
  <si>
    <t>Madurai</t>
  </si>
  <si>
    <t>Jaipur</t>
  </si>
  <si>
    <t>Mangaluru</t>
  </si>
  <si>
    <t>Banasthali</t>
  </si>
  <si>
    <t>Puducherry</t>
  </si>
  <si>
    <t>Pondicherry</t>
  </si>
  <si>
    <t>Tezpur</t>
  </si>
  <si>
    <t>Solan</t>
  </si>
  <si>
    <t>Himachal Pradesh</t>
  </si>
  <si>
    <t>Ambala</t>
  </si>
  <si>
    <t>Haryana</t>
  </si>
  <si>
    <t>Belgaum</t>
  </si>
  <si>
    <t>Ahmedabad</t>
  </si>
  <si>
    <t>Gujarat</t>
  </si>
  <si>
    <t>Aizawl</t>
  </si>
  <si>
    <t>Mizoram</t>
  </si>
  <si>
    <t>Kelambakkam, Chengalpattu District</t>
  </si>
  <si>
    <t>Ranchi</t>
  </si>
  <si>
    <t>Jharkhand</t>
  </si>
  <si>
    <t>Bathinda</t>
  </si>
  <si>
    <t>Longowal</t>
  </si>
  <si>
    <t>Greater Noida</t>
  </si>
  <si>
    <t>Tirupati</t>
  </si>
  <si>
    <t>Pantnagar</t>
  </si>
  <si>
    <t>Malappuram</t>
  </si>
  <si>
    <t>Rajpura</t>
  </si>
  <si>
    <t>Faridabad</t>
  </si>
  <si>
    <t>Tirunelveli</t>
  </si>
  <si>
    <t>Gorakhpur</t>
  </si>
  <si>
    <t>Tiruvarur</t>
  </si>
  <si>
    <t>Score</t>
  </si>
  <si>
    <t>Rank</t>
  </si>
  <si>
    <t>Grade</t>
  </si>
  <si>
    <t>A</t>
  </si>
  <si>
    <t>C</t>
  </si>
  <si>
    <t>D</t>
  </si>
  <si>
    <t>F</t>
  </si>
  <si>
    <t>Row Labels</t>
  </si>
  <si>
    <t>Grand Total</t>
  </si>
  <si>
    <t>Average of Rank</t>
  </si>
  <si>
    <t>Average of Score</t>
  </si>
  <si>
    <t>state wise avg score</t>
  </si>
  <si>
    <t>Count of Institute ID</t>
  </si>
  <si>
    <t>grade wise no of instutions</t>
  </si>
  <si>
    <t>Banaras Hindu University</t>
  </si>
  <si>
    <t>Jamia Millia Islamia</t>
  </si>
  <si>
    <t>Jawaharlal Nehru University</t>
  </si>
  <si>
    <t>State wise average score</t>
  </si>
  <si>
    <t>Rank - Copy</t>
  </si>
  <si>
    <t>Score - Copy</t>
  </si>
  <si>
    <t>1</t>
  </si>
  <si>
    <t>83.29</t>
  </si>
  <si>
    <t>2</t>
  </si>
  <si>
    <t>69.8</t>
  </si>
  <si>
    <t>3</t>
  </si>
  <si>
    <t>68.11</t>
  </si>
  <si>
    <t>4</t>
  </si>
  <si>
    <t>67.180000000000007</t>
  </si>
  <si>
    <t>5</t>
  </si>
  <si>
    <t>66.05</t>
  </si>
  <si>
    <t>6</t>
  </si>
  <si>
    <t>65.900000000000006</t>
  </si>
  <si>
    <t>7</t>
  </si>
  <si>
    <t>65.73</t>
  </si>
  <si>
    <t>8</t>
  </si>
  <si>
    <t>65.569999999999993</t>
  </si>
  <si>
    <t>9</t>
  </si>
  <si>
    <t>65.39</t>
  </si>
  <si>
    <t>10</t>
  </si>
  <si>
    <t>64.790000000000006</t>
  </si>
  <si>
    <t>11</t>
  </si>
  <si>
    <t>64.62</t>
  </si>
  <si>
    <t>12</t>
  </si>
  <si>
    <t>64.56</t>
  </si>
  <si>
    <t>13</t>
  </si>
  <si>
    <t>63.85</t>
  </si>
  <si>
    <t>14</t>
  </si>
  <si>
    <t>62.61</t>
  </si>
  <si>
    <t>15</t>
  </si>
  <si>
    <t>62.53</t>
  </si>
  <si>
    <t>16</t>
  </si>
  <si>
    <t>62.31</t>
  </si>
  <si>
    <t>17</t>
  </si>
  <si>
    <t>62.18</t>
  </si>
  <si>
    <t>18</t>
  </si>
  <si>
    <t>61.1</t>
  </si>
  <si>
    <t>19</t>
  </si>
  <si>
    <t>60.03</t>
  </si>
  <si>
    <t>20</t>
  </si>
  <si>
    <t>59.96</t>
  </si>
  <si>
    <t>21</t>
  </si>
  <si>
    <t>58.48</t>
  </si>
  <si>
    <t>22</t>
  </si>
  <si>
    <t>57.98</t>
  </si>
  <si>
    <t>23</t>
  </si>
  <si>
    <t>57.96</t>
  </si>
  <si>
    <t>24</t>
  </si>
  <si>
    <t>57.74</t>
  </si>
  <si>
    <t>25</t>
  </si>
  <si>
    <t>57.67</t>
  </si>
  <si>
    <t>26</t>
  </si>
  <si>
    <t>57.26</t>
  </si>
  <si>
    <t>27</t>
  </si>
  <si>
    <t>56.92</t>
  </si>
  <si>
    <t>28</t>
  </si>
  <si>
    <t>56.81</t>
  </si>
  <si>
    <t>29</t>
  </si>
  <si>
    <t>56.72</t>
  </si>
  <si>
    <t>30</t>
  </si>
  <si>
    <t>56.71</t>
  </si>
  <si>
    <t>31</t>
  </si>
  <si>
    <t>56.41</t>
  </si>
  <si>
    <t>32</t>
  </si>
  <si>
    <t>56.14</t>
  </si>
  <si>
    <t>33</t>
  </si>
  <si>
    <t>56.03</t>
  </si>
  <si>
    <t>34</t>
  </si>
  <si>
    <t>55.95</t>
  </si>
  <si>
    <t>35</t>
  </si>
  <si>
    <t>55.67</t>
  </si>
  <si>
    <t>36</t>
  </si>
  <si>
    <t>55.6</t>
  </si>
  <si>
    <t>37</t>
  </si>
  <si>
    <t>55.18</t>
  </si>
  <si>
    <t>38</t>
  </si>
  <si>
    <t>55.11</t>
  </si>
  <si>
    <t>39</t>
  </si>
  <si>
    <t>55.03</t>
  </si>
  <si>
    <t>40</t>
  </si>
  <si>
    <t>54.86</t>
  </si>
  <si>
    <t>42</t>
  </si>
  <si>
    <t>54.71</t>
  </si>
  <si>
    <t>43</t>
  </si>
  <si>
    <t>54.69</t>
  </si>
  <si>
    <t>44</t>
  </si>
  <si>
    <t>54.59</t>
  </si>
  <si>
    <t>45</t>
  </si>
  <si>
    <t>54.43</t>
  </si>
  <si>
    <t>46</t>
  </si>
  <si>
    <t>54.02</t>
  </si>
  <si>
    <t>47</t>
  </si>
  <si>
    <t>53.84</t>
  </si>
  <si>
    <t>48</t>
  </si>
  <si>
    <t>53.31</t>
  </si>
  <si>
    <t>49</t>
  </si>
  <si>
    <t>52.43</t>
  </si>
  <si>
    <t>50</t>
  </si>
  <si>
    <t>52.33</t>
  </si>
  <si>
    <t>51</t>
  </si>
  <si>
    <t>52.16</t>
  </si>
  <si>
    <t>52</t>
  </si>
  <si>
    <t>52.01</t>
  </si>
  <si>
    <t>53</t>
  </si>
  <si>
    <t>51.1</t>
  </si>
  <si>
    <t>54</t>
  </si>
  <si>
    <t>51.04</t>
  </si>
  <si>
    <t>55</t>
  </si>
  <si>
    <t>50.86</t>
  </si>
  <si>
    <t>56</t>
  </si>
  <si>
    <t>50.36</t>
  </si>
  <si>
    <t>57</t>
  </si>
  <si>
    <t>50.32</t>
  </si>
  <si>
    <t>58</t>
  </si>
  <si>
    <t>50.2</t>
  </si>
  <si>
    <t>59</t>
  </si>
  <si>
    <t>50.06</t>
  </si>
  <si>
    <t>60</t>
  </si>
  <si>
    <t>49.87</t>
  </si>
  <si>
    <t>61</t>
  </si>
  <si>
    <t>49.86</t>
  </si>
  <si>
    <t>62</t>
  </si>
  <si>
    <t>49.8</t>
  </si>
  <si>
    <t>63</t>
  </si>
  <si>
    <t>49.72</t>
  </si>
  <si>
    <t>64</t>
  </si>
  <si>
    <t>49.5</t>
  </si>
  <si>
    <t>65</t>
  </si>
  <si>
    <t>49.47</t>
  </si>
  <si>
    <t>66</t>
  </si>
  <si>
    <t>49.45</t>
  </si>
  <si>
    <t>67</t>
  </si>
  <si>
    <t>49.38</t>
  </si>
  <si>
    <t>68</t>
  </si>
  <si>
    <t>49.14</t>
  </si>
  <si>
    <t>69</t>
  </si>
  <si>
    <t>49.01</t>
  </si>
  <si>
    <t>70</t>
  </si>
  <si>
    <t>48.82</t>
  </si>
  <si>
    <t>71</t>
  </si>
  <si>
    <t>48.67</t>
  </si>
  <si>
    <t>72</t>
  </si>
  <si>
    <t>48.45</t>
  </si>
  <si>
    <t>73</t>
  </si>
  <si>
    <t>48.36</t>
  </si>
  <si>
    <t>74</t>
  </si>
  <si>
    <t>48.32</t>
  </si>
  <si>
    <t>75</t>
  </si>
  <si>
    <t>48.1</t>
  </si>
  <si>
    <t>76</t>
  </si>
  <si>
    <t>48.04</t>
  </si>
  <si>
    <t>77</t>
  </si>
  <si>
    <t>48.03</t>
  </si>
  <si>
    <t>78</t>
  </si>
  <si>
    <t>47.94</t>
  </si>
  <si>
    <t>79</t>
  </si>
  <si>
    <t>47.8</t>
  </si>
  <si>
    <t>80</t>
  </si>
  <si>
    <t>47.66</t>
  </si>
  <si>
    <t>81</t>
  </si>
  <si>
    <t>47.45</t>
  </si>
  <si>
    <t>82</t>
  </si>
  <si>
    <t>47.31</t>
  </si>
  <si>
    <t>83</t>
  </si>
  <si>
    <t>47.11</t>
  </si>
  <si>
    <t>84</t>
  </si>
  <si>
    <t>47.03</t>
  </si>
  <si>
    <t>85</t>
  </si>
  <si>
    <t>46.9</t>
  </si>
  <si>
    <t>86</t>
  </si>
  <si>
    <t>46.88</t>
  </si>
  <si>
    <t>87</t>
  </si>
  <si>
    <t>46.65</t>
  </si>
  <si>
    <t>88</t>
  </si>
  <si>
    <t>46.64</t>
  </si>
  <si>
    <t>89</t>
  </si>
  <si>
    <t>46.63</t>
  </si>
  <si>
    <t>90</t>
  </si>
  <si>
    <t>46.47</t>
  </si>
  <si>
    <t>92</t>
  </si>
  <si>
    <t>46.46</t>
  </si>
  <si>
    <t>93</t>
  </si>
  <si>
    <t>46.34</t>
  </si>
  <si>
    <t>94</t>
  </si>
  <si>
    <t>46.33</t>
  </si>
  <si>
    <t>95</t>
  </si>
  <si>
    <t>46.31</t>
  </si>
  <si>
    <t>96</t>
  </si>
  <si>
    <t>46.22</t>
  </si>
  <si>
    <t>97</t>
  </si>
  <si>
    <t>45.89</t>
  </si>
  <si>
    <t>98</t>
  </si>
  <si>
    <t>45.78</t>
  </si>
  <si>
    <t>99</t>
  </si>
  <si>
    <t>45.73</t>
  </si>
  <si>
    <t>100</t>
  </si>
  <si>
    <t>45.51</t>
  </si>
  <si>
    <t>State wise count on institutions</t>
  </si>
  <si>
    <t>Value.Rank</t>
  </si>
  <si>
    <t>Value.Grade</t>
  </si>
  <si>
    <t>Attribute</t>
  </si>
  <si>
    <t>Institute_ranking</t>
  </si>
  <si>
    <t>Institute_ranking.Rank</t>
  </si>
  <si>
    <t>Institute_ranking.Score</t>
  </si>
  <si>
    <t>Column Labels</t>
  </si>
  <si>
    <t>Sum of Score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</si>
</sst>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0\ &quot;%&quot;"/>
  </numFmts>
  <fonts count="3" x14ac:knownFonts="1">
    <font>
      <sz val="11"/>
      <color theme="1"/>
      <name val="Calibri"/>
      <family val="2"/>
      <scheme val="minor"/>
    </font>
    <font>
      <sz val="8"/>
      <name val="Calibri"/>
      <family val="2"/>
      <scheme val="minor"/>
    </font>
    <font>
      <sz val="11"/>
      <color theme="1"/>
      <name val="Calibri"/>
      <family val="2"/>
      <scheme val="minor"/>
    </font>
  </fonts>
  <fills count="5">
    <fill>
      <patternFill patternType="none"/>
    </fill>
    <fill>
      <patternFill patternType="gray125"/>
    </fill>
    <fill>
      <patternFill patternType="solid">
        <fgColor rgb="FFFFFF00"/>
        <bgColor indexed="64"/>
      </patternFill>
    </fill>
    <fill>
      <patternFill patternType="solid">
        <fgColor rgb="FFB0B0B0"/>
        <bgColor indexed="64"/>
      </patternFill>
    </fill>
    <fill>
      <patternFill patternType="solid">
        <fgColor theme="6" tint="0.39997558519241921"/>
        <bgColor indexed="64"/>
      </patternFill>
    </fill>
  </fills>
  <borders count="1">
    <border>
      <left/>
      <right/>
      <top/>
      <bottom/>
      <diagonal/>
    </border>
  </borders>
  <cellStyleXfs count="2">
    <xf numFmtId="0" fontId="0" fillId="0" borderId="0"/>
    <xf numFmtId="9" fontId="2" fillId="0" borderId="0" applyFont="0" applyFill="0" applyBorder="0" applyAlignment="0" applyProtection="0"/>
  </cellStyleXfs>
  <cellXfs count="9">
    <xf numFmtId="0" fontId="0" fillId="0" borderId="0" xfId="0"/>
    <xf numFmtId="0" fontId="0" fillId="0" borderId="0" xfId="0" pivotButton="1"/>
    <xf numFmtId="0" fontId="0" fillId="0" borderId="0" xfId="0" applyAlignment="1">
      <alignment horizontal="left"/>
    </xf>
    <xf numFmtId="2" fontId="0" fillId="0" borderId="0" xfId="0" applyNumberFormat="1"/>
    <xf numFmtId="164" fontId="0" fillId="0" borderId="0" xfId="0" applyNumberFormat="1"/>
    <xf numFmtId="164" fontId="0" fillId="0" borderId="0" xfId="1" applyNumberFormat="1" applyFont="1"/>
    <xf numFmtId="0" fontId="0" fillId="2" borderId="0" xfId="0" applyFill="1" applyAlignment="1">
      <alignment horizontal="center"/>
    </xf>
    <xf numFmtId="0" fontId="0" fillId="3" borderId="0" xfId="0" applyFill="1"/>
    <xf numFmtId="0" fontId="0" fillId="4" borderId="0" xfId="0" applyFill="1"/>
  </cellXfs>
  <cellStyles count="2">
    <cellStyle name="Normal" xfId="0" builtinId="0"/>
    <cellStyle name="Percent" xfId="1" builtinId="5"/>
  </cellStyles>
  <dxfs count="16">
    <dxf>
      <font>
        <color rgb="FFB0B0B0"/>
      </font>
      <fill>
        <patternFill patternType="none">
          <bgColor auto="1"/>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 formatCode="0.00"/>
    </dxf>
    <dxf>
      <numFmt numFmtId="0" formatCode="General"/>
    </dxf>
  </dxfs>
  <tableStyles count="1" defaultTableStyle="TableStyleMedium2" defaultPivotStyle="PivotStyleLight16">
    <tableStyle name="Slicer Style 1" pivot="0" table="0" count="1" xr9:uid="{9F225069-95A2-40D5-888A-7886A2A95ECE}">
      <tableStyleElement type="wholeTable" dxfId="0"/>
    </tableStyle>
  </tableStyles>
  <colors>
    <mruColors>
      <color rgb="FF3A98D2"/>
      <color rgb="FF0A1F2C"/>
      <color rgb="FFE94365"/>
      <color rgb="FFB0B0B0"/>
      <color rgb="FFE0E0E0"/>
      <color rgb="FFC8347A"/>
      <color rgb="FF2C550B"/>
      <color rgb="FFC5C5C5"/>
      <color rgb="FFA3A3A3"/>
    </mruColors>
  </color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3.xml"/><Relationship Id="rId18" Type="http://schemas.openxmlformats.org/officeDocument/2006/relationships/pivotCacheDefinition" Target="pivotCache/pivotCacheDefinition8.xml"/><Relationship Id="rId26" Type="http://schemas.openxmlformats.org/officeDocument/2006/relationships/powerPivotData" Target="model/item.data"/><Relationship Id="rId39" Type="http://schemas.openxmlformats.org/officeDocument/2006/relationships/customXml" Target="../customXml/item12.xml"/><Relationship Id="rId21" Type="http://schemas.microsoft.com/office/2007/relationships/slicerCache" Target="slicerCaches/slicerCache2.xml"/><Relationship Id="rId34" Type="http://schemas.openxmlformats.org/officeDocument/2006/relationships/customXml" Target="../customXml/item7.xml"/><Relationship Id="rId42" Type="http://schemas.openxmlformats.org/officeDocument/2006/relationships/customXml" Target="../customXml/item1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6.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24" Type="http://schemas.openxmlformats.org/officeDocument/2006/relationships/styles" Target="styles.xml"/><Relationship Id="rId32" Type="http://schemas.openxmlformats.org/officeDocument/2006/relationships/customXml" Target="../customXml/item5.xml"/><Relationship Id="rId37" Type="http://schemas.openxmlformats.org/officeDocument/2006/relationships/customXml" Target="../customXml/item10.xml"/><Relationship Id="rId40" Type="http://schemas.openxmlformats.org/officeDocument/2006/relationships/customXml" Target="../customXml/item13.xml"/><Relationship Id="rId45" Type="http://schemas.openxmlformats.org/officeDocument/2006/relationships/customXml" Target="../customXml/item18.xml"/><Relationship Id="rId5" Type="http://schemas.openxmlformats.org/officeDocument/2006/relationships/worksheet" Target="worksheets/sheet5.xml"/><Relationship Id="rId15" Type="http://schemas.openxmlformats.org/officeDocument/2006/relationships/pivotCacheDefinition" Target="pivotCache/pivotCacheDefinition5.xml"/><Relationship Id="rId23" Type="http://schemas.openxmlformats.org/officeDocument/2006/relationships/connections" Target="connections.xml"/><Relationship Id="rId28" Type="http://schemas.openxmlformats.org/officeDocument/2006/relationships/customXml" Target="../customXml/item1.xml"/><Relationship Id="rId36" Type="http://schemas.openxmlformats.org/officeDocument/2006/relationships/customXml" Target="../customXml/item9.xml"/><Relationship Id="rId10" Type="http://schemas.openxmlformats.org/officeDocument/2006/relationships/worksheet" Target="worksheets/sheet10.xml"/><Relationship Id="rId19" Type="http://schemas.openxmlformats.org/officeDocument/2006/relationships/pivotCacheDefinition" Target="pivotCache/pivotCacheDefinition9.xml"/><Relationship Id="rId31" Type="http://schemas.openxmlformats.org/officeDocument/2006/relationships/customXml" Target="../customXml/item4.xml"/><Relationship Id="rId44" Type="http://schemas.openxmlformats.org/officeDocument/2006/relationships/customXml" Target="../customXml/item17.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4.xml"/><Relationship Id="rId22" Type="http://schemas.openxmlformats.org/officeDocument/2006/relationships/theme" Target="theme/theme1.xml"/><Relationship Id="rId27" Type="http://schemas.openxmlformats.org/officeDocument/2006/relationships/calcChain" Target="calcChain.xml"/><Relationship Id="rId30" Type="http://schemas.openxmlformats.org/officeDocument/2006/relationships/customXml" Target="../customXml/item3.xml"/><Relationship Id="rId35" Type="http://schemas.openxmlformats.org/officeDocument/2006/relationships/customXml" Target="../customXml/item8.xml"/><Relationship Id="rId43" Type="http://schemas.openxmlformats.org/officeDocument/2006/relationships/customXml" Target="../customXml/item16.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pivotCacheDefinition" Target="pivotCache/pivotCacheDefinition2.xml"/><Relationship Id="rId17" Type="http://schemas.openxmlformats.org/officeDocument/2006/relationships/pivotCacheDefinition" Target="pivotCache/pivotCacheDefinition7.xml"/><Relationship Id="rId25" Type="http://schemas.openxmlformats.org/officeDocument/2006/relationships/sharedStrings" Target="sharedStrings.xml"/><Relationship Id="rId33" Type="http://schemas.openxmlformats.org/officeDocument/2006/relationships/customXml" Target="../customXml/item6.xml"/><Relationship Id="rId38" Type="http://schemas.openxmlformats.org/officeDocument/2006/relationships/customXml" Target="../customXml/item11.xml"/><Relationship Id="rId46" Type="http://schemas.openxmlformats.org/officeDocument/2006/relationships/customXml" Target="../customXml/item19.xml"/><Relationship Id="rId20" Type="http://schemas.microsoft.com/office/2007/relationships/slicerCache" Target="slicerCaches/slicerCache1.xml"/><Relationship Id="rId41" Type="http://schemas.openxmlformats.org/officeDocument/2006/relationships/customXml" Target="../customXml/item14.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1.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2.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3.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[University_ranking_dashboard.xlsx]chart!PivotTable1</c:name>
    <c:fmtId val="17"/>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State wise average score</a:t>
            </a:r>
          </a:p>
        </c:rich>
      </c:tx>
      <c:overlay val="0"/>
      <c:spPr>
        <a:noFill/>
        <a:ln>
          <a:noFill/>
        </a:ln>
        <a:effectLst/>
      </c:spPr>
    </c:title>
    <c:autoTitleDeleted val="0"/>
    <c:pivotFmts>
      <c:pivotFmt>
        <c:idx val="0"/>
        <c:spPr>
          <a:solidFill>
            <a:schemeClr val="accent1"/>
          </a:solidFill>
          <a:ln w="28575" cap="rnd">
            <a:solidFill>
              <a:srgbClr val="E94365"/>
            </a:solidFill>
            <a:round/>
          </a:ln>
          <a:effectLst>
            <a:outerShdw blurRad="50800" dist="50800" dir="5400000" algn="ctr" rotWithShape="0">
              <a:srgbClr val="E94365"/>
            </a:outerShdw>
          </a:effectLst>
        </c:spPr>
        <c:marker>
          <c:symbol val="circle"/>
          <c:size val="5"/>
          <c:spPr>
            <a:solidFill>
              <a:srgbClr val="C00000"/>
            </a:solidFill>
            <a:ln w="9525">
              <a:solidFill>
                <a:schemeClr val="tx1"/>
              </a:solidFill>
            </a:ln>
            <a:effectLst>
              <a:outerShdw blurRad="50800" dist="50800" dir="5400000" algn="ctr" rotWithShape="0">
                <a:srgbClr val="E94365"/>
              </a:outerShdw>
            </a:effectLst>
          </c:spPr>
        </c:marker>
        <c:dLbl>
          <c:idx val="0"/>
          <c:delete val="1"/>
          <c:extLst>
            <c:ext xmlns:c15="http://schemas.microsoft.com/office/drawing/2012/chart" uri="{CE6537A1-D6FC-4f65-9D91-7224C49458BB}"/>
          </c:extLst>
        </c:dLbl>
      </c:pivotFmt>
      <c:pivotFmt>
        <c:idx val="1"/>
        <c:spPr>
          <a:solidFill>
            <a:schemeClr val="accent1"/>
          </a:solidFill>
          <a:ln w="28575" cap="rnd">
            <a:solidFill>
              <a:srgbClr val="E94365"/>
            </a:solidFill>
            <a:round/>
          </a:ln>
          <a:effectLst>
            <a:outerShdw blurRad="50800" dist="50800" dir="5400000" algn="ctr" rotWithShape="0">
              <a:srgbClr val="E94365"/>
            </a:outerShdw>
          </a:effectLst>
        </c:spPr>
        <c:marker>
          <c:symbol val="circle"/>
          <c:size val="5"/>
          <c:spPr>
            <a:solidFill>
              <a:srgbClr val="C00000"/>
            </a:solidFill>
            <a:ln w="9525">
              <a:solidFill>
                <a:schemeClr val="tx1"/>
              </a:solidFill>
            </a:ln>
            <a:effectLst>
              <a:outerShdw blurRad="50800" dist="50800" dir="5400000" algn="ctr" rotWithShape="0">
                <a:srgbClr val="E94365"/>
              </a:outerShdw>
            </a:effectLst>
          </c:spPr>
        </c:marker>
        <c:dLbl>
          <c:idx val="0"/>
          <c:delete val="1"/>
          <c:extLst>
            <c:ext xmlns:c15="http://schemas.microsoft.com/office/drawing/2012/chart" uri="{CE6537A1-D6FC-4f65-9D91-7224C49458BB}"/>
          </c:extLst>
        </c:dLbl>
      </c:pivotFmt>
      <c:pivotFmt>
        <c:idx val="2"/>
        <c:spPr>
          <a:ln w="28575" cap="rnd">
            <a:solidFill>
              <a:srgbClr val="E94365"/>
            </a:solidFill>
            <a:round/>
          </a:ln>
          <a:effectLst>
            <a:outerShdw blurRad="50800" dist="50800" dir="5400000" algn="ctr" rotWithShape="0">
              <a:srgbClr val="E94365"/>
            </a:outerShdw>
          </a:effectLst>
        </c:spPr>
        <c:marker>
          <c:symbol val="circle"/>
          <c:size val="5"/>
          <c:spPr>
            <a:solidFill>
              <a:srgbClr val="C00000"/>
            </a:solidFill>
            <a:ln w="9525">
              <a:solidFill>
                <a:schemeClr val="tx1"/>
              </a:solidFill>
            </a:ln>
            <a:effectLst>
              <a:outerShdw blurRad="50800" dist="50800" dir="5400000" algn="ctr" rotWithShape="0">
                <a:srgbClr val="E94365"/>
              </a:outerShdw>
            </a:effectLst>
          </c:spPr>
        </c:marker>
        <c:dLbl>
          <c:idx val="0"/>
          <c:delete val="1"/>
          <c:extLst>
            <c:ext xmlns:c15="http://schemas.microsoft.com/office/drawing/2012/chart" uri="{CE6537A1-D6FC-4f65-9D91-7224C49458BB}"/>
          </c:extLst>
        </c:dLbl>
      </c:pivotFmt>
      <c:pivotFmt>
        <c:idx val="3"/>
        <c:spPr>
          <a:ln w="28575" cap="rnd">
            <a:solidFill>
              <a:srgbClr val="E94365"/>
            </a:solidFill>
            <a:round/>
          </a:ln>
          <a:effectLst>
            <a:outerShdw blurRad="50800" dist="50800" dir="5400000" algn="ctr" rotWithShape="0">
              <a:srgbClr val="E94365"/>
            </a:outerShdw>
          </a:effectLst>
        </c:spPr>
        <c:marker>
          <c:symbol val="circle"/>
          <c:size val="5"/>
          <c:spPr>
            <a:solidFill>
              <a:srgbClr val="C00000"/>
            </a:solidFill>
            <a:ln w="9525">
              <a:solidFill>
                <a:schemeClr val="tx1"/>
              </a:solidFill>
            </a:ln>
            <a:effectLst>
              <a:outerShdw blurRad="50800" dist="50800" dir="5400000" algn="ctr" rotWithShape="0">
                <a:srgbClr val="E94365"/>
              </a:outerShdw>
            </a:effectLst>
          </c:spPr>
        </c:marker>
        <c:dLbl>
          <c:idx val="0"/>
          <c:delete val="1"/>
          <c:extLst>
            <c:ext xmlns:c15="http://schemas.microsoft.com/office/drawing/2012/chart" uri="{CE6537A1-D6FC-4f65-9D91-7224C49458BB}"/>
          </c:extLst>
        </c:dLbl>
      </c:pivotFmt>
      <c:pivotFmt>
        <c:idx val="4"/>
        <c:spPr>
          <a:ln w="28575" cap="rnd">
            <a:solidFill>
              <a:srgbClr val="E94365"/>
            </a:solidFill>
            <a:round/>
          </a:ln>
          <a:effectLst>
            <a:outerShdw blurRad="50800" dist="50800" dir="5400000" algn="ctr" rotWithShape="0">
              <a:srgbClr val="E94365"/>
            </a:outerShdw>
          </a:effectLst>
        </c:spPr>
        <c:marker>
          <c:symbol val="circle"/>
          <c:size val="5"/>
          <c:spPr>
            <a:solidFill>
              <a:srgbClr val="C00000"/>
            </a:solidFill>
            <a:ln w="9525">
              <a:solidFill>
                <a:schemeClr val="tx1"/>
              </a:solidFill>
            </a:ln>
            <a:effectLst>
              <a:outerShdw blurRad="50800" dist="50800" dir="5400000" algn="ctr" rotWithShape="0">
                <a:srgbClr val="E94365"/>
              </a:outerShdw>
            </a:effectLst>
          </c:spPr>
        </c:marker>
        <c:dLbl>
          <c:idx val="0"/>
          <c:delete val="1"/>
          <c:extLst>
            <c:ext xmlns:c15="http://schemas.microsoft.com/office/drawing/2012/chart" uri="{CE6537A1-D6FC-4f65-9D91-7224C49458BB}"/>
          </c:extLst>
        </c:dLbl>
      </c:pivotFmt>
      <c:pivotFmt>
        <c:idx val="5"/>
        <c:spPr>
          <a:ln w="28575" cap="rnd">
            <a:solidFill>
              <a:srgbClr val="E94365"/>
            </a:solidFill>
            <a:round/>
          </a:ln>
          <a:effectLst>
            <a:outerShdw blurRad="50800" dist="50800" dir="5400000" algn="ctr" rotWithShape="0">
              <a:srgbClr val="E94365"/>
            </a:outerShdw>
          </a:effectLst>
        </c:spPr>
        <c:marker>
          <c:symbol val="circle"/>
          <c:size val="5"/>
          <c:spPr>
            <a:solidFill>
              <a:srgbClr val="C00000"/>
            </a:solidFill>
            <a:ln w="9525">
              <a:solidFill>
                <a:schemeClr val="tx1"/>
              </a:solidFill>
            </a:ln>
            <a:effectLst>
              <a:outerShdw blurRad="50800" dist="50800" dir="5400000" algn="ctr" rotWithShape="0">
                <a:srgbClr val="E94365"/>
              </a:outerShdw>
            </a:effectLst>
          </c:spPr>
        </c:marker>
        <c:dLbl>
          <c:idx val="0"/>
          <c:delete val="1"/>
          <c:extLst>
            <c:ext xmlns:c15="http://schemas.microsoft.com/office/drawing/2012/chart" uri="{CE6537A1-D6FC-4f65-9D91-7224C49458BB}"/>
          </c:extLst>
        </c:dLbl>
      </c:pivotFmt>
    </c:pivotFmts>
    <c:plotArea>
      <c:layout>
        <c:manualLayout>
          <c:layoutTarget val="inner"/>
          <c:xMode val="edge"/>
          <c:yMode val="edge"/>
          <c:x val="4.7159947434947169E-2"/>
          <c:y val="0.25703395703395704"/>
          <c:w val="0.92782868376105099"/>
          <c:h val="0.29539127255662689"/>
        </c:manualLayout>
      </c:layout>
      <c:lineChart>
        <c:grouping val="stacked"/>
        <c:varyColors val="0"/>
        <c:ser>
          <c:idx val="0"/>
          <c:order val="0"/>
          <c:tx>
            <c:strRef>
              <c:f>chart!$C$3</c:f>
              <c:strCache>
                <c:ptCount val="1"/>
                <c:pt idx="0">
                  <c:v>Total</c:v>
                </c:pt>
              </c:strCache>
            </c:strRef>
          </c:tx>
          <c:spPr>
            <a:ln w="28575" cap="rnd">
              <a:solidFill>
                <a:srgbClr val="E94365"/>
              </a:solidFill>
              <a:round/>
            </a:ln>
            <a:effectLst>
              <a:outerShdw blurRad="50800" dist="50800" dir="5400000" algn="ctr" rotWithShape="0">
                <a:srgbClr val="E94365"/>
              </a:outerShdw>
            </a:effectLst>
          </c:spPr>
          <c:marker>
            <c:symbol val="circle"/>
            <c:size val="5"/>
            <c:spPr>
              <a:solidFill>
                <a:srgbClr val="C00000"/>
              </a:solidFill>
              <a:ln w="9525">
                <a:solidFill>
                  <a:schemeClr val="tx1"/>
                </a:solidFill>
              </a:ln>
              <a:effectLst>
                <a:outerShdw blurRad="50800" dist="50800" dir="5400000" algn="ctr" rotWithShape="0">
                  <a:srgbClr val="E94365"/>
                </a:outerShdw>
              </a:effectLst>
            </c:spPr>
          </c:marker>
          <c:cat>
            <c:strRef>
              <c:f>chart!$B$4:$B$26</c:f>
              <c:strCache>
                <c:ptCount val="22"/>
                <c:pt idx="0">
                  <c:v>Andhra Pradesh</c:v>
                </c:pt>
                <c:pt idx="1">
                  <c:v>Assam</c:v>
                </c:pt>
                <c:pt idx="2">
                  <c:v>Chandigarh</c:v>
                </c:pt>
                <c:pt idx="3">
                  <c:v>Delhi</c:v>
                </c:pt>
                <c:pt idx="4">
                  <c:v>Gujarat</c:v>
                </c:pt>
                <c:pt idx="5">
                  <c:v>Haryana</c:v>
                </c:pt>
                <c:pt idx="6">
                  <c:v>Himachal Pradesh</c:v>
                </c:pt>
                <c:pt idx="7">
                  <c:v>Jammu and Kashmir</c:v>
                </c:pt>
                <c:pt idx="8">
                  <c:v>Jharkhand</c:v>
                </c:pt>
                <c:pt idx="9">
                  <c:v>Karnataka</c:v>
                </c:pt>
                <c:pt idx="10">
                  <c:v>Kerala</c:v>
                </c:pt>
                <c:pt idx="11">
                  <c:v>Maharashtra</c:v>
                </c:pt>
                <c:pt idx="12">
                  <c:v>Mizoram</c:v>
                </c:pt>
                <c:pt idx="13">
                  <c:v>Odisha</c:v>
                </c:pt>
                <c:pt idx="14">
                  <c:v>Pondicherry</c:v>
                </c:pt>
                <c:pt idx="15">
                  <c:v>Punjab</c:v>
                </c:pt>
                <c:pt idx="16">
                  <c:v>Rajasthan</c:v>
                </c:pt>
                <c:pt idx="17">
                  <c:v>Tamil Nadu</c:v>
                </c:pt>
                <c:pt idx="18">
                  <c:v>Telangana</c:v>
                </c:pt>
                <c:pt idx="19">
                  <c:v>Uttar Pradesh</c:v>
                </c:pt>
                <c:pt idx="20">
                  <c:v>Uttarakhand</c:v>
                </c:pt>
                <c:pt idx="21">
                  <c:v>West Bengal</c:v>
                </c:pt>
              </c:strCache>
            </c:strRef>
          </c:cat>
          <c:val>
            <c:numRef>
              <c:f>chart!$C$4:$C$26</c:f>
              <c:numCache>
                <c:formatCode>0.00</c:formatCode>
                <c:ptCount val="22"/>
                <c:pt idx="0">
                  <c:v>53.886099999999999</c:v>
                </c:pt>
                <c:pt idx="1">
                  <c:v>53.886099999999999</c:v>
                </c:pt>
                <c:pt idx="2">
                  <c:v>53.886099999999999</c:v>
                </c:pt>
                <c:pt idx="3">
                  <c:v>53.886099999999999</c:v>
                </c:pt>
                <c:pt idx="4">
                  <c:v>53.886099999999999</c:v>
                </c:pt>
                <c:pt idx="5">
                  <c:v>53.886099999999999</c:v>
                </c:pt>
                <c:pt idx="6">
                  <c:v>53.886099999999999</c:v>
                </c:pt>
                <c:pt idx="7">
                  <c:v>53.886099999999999</c:v>
                </c:pt>
                <c:pt idx="8">
                  <c:v>53.886099999999999</c:v>
                </c:pt>
                <c:pt idx="9">
                  <c:v>53.886099999999999</c:v>
                </c:pt>
                <c:pt idx="10">
                  <c:v>53.886099999999999</c:v>
                </c:pt>
                <c:pt idx="11">
                  <c:v>53.886099999999999</c:v>
                </c:pt>
                <c:pt idx="12">
                  <c:v>53.886099999999999</c:v>
                </c:pt>
                <c:pt idx="13">
                  <c:v>53.886099999999999</c:v>
                </c:pt>
                <c:pt idx="14">
                  <c:v>53.886099999999999</c:v>
                </c:pt>
                <c:pt idx="15">
                  <c:v>53.886099999999999</c:v>
                </c:pt>
                <c:pt idx="16">
                  <c:v>53.886099999999999</c:v>
                </c:pt>
                <c:pt idx="17">
                  <c:v>53.886099999999999</c:v>
                </c:pt>
                <c:pt idx="18">
                  <c:v>53.886099999999999</c:v>
                </c:pt>
                <c:pt idx="19">
                  <c:v>53.886099999999999</c:v>
                </c:pt>
                <c:pt idx="20">
                  <c:v>53.886099999999999</c:v>
                </c:pt>
                <c:pt idx="21">
                  <c:v>53.886099999999999</c:v>
                </c:pt>
              </c:numCache>
            </c:numRef>
          </c:val>
          <c:smooth val="0"/>
          <c:extLst>
            <c:ext xmlns:c16="http://schemas.microsoft.com/office/drawing/2014/chart" uri="{C3380CC4-5D6E-409C-BE32-E72D297353CC}">
              <c16:uniqueId val="{00000000-1C6A-4A10-BE58-3130EF6E9212}"/>
            </c:ext>
          </c:extLst>
        </c:ser>
        <c:dLbls>
          <c:showLegendKey val="0"/>
          <c:showVal val="0"/>
          <c:showCatName val="0"/>
          <c:showSerName val="0"/>
          <c:showPercent val="0"/>
          <c:showBubbleSize val="0"/>
        </c:dLbls>
        <c:marker val="1"/>
        <c:smooth val="0"/>
        <c:axId val="1478094831"/>
        <c:axId val="1478086191"/>
      </c:lineChart>
      <c:catAx>
        <c:axId val="14780948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chemeClr val="tx1">
                    <a:lumMod val="65000"/>
                    <a:lumOff val="35000"/>
                  </a:schemeClr>
                </a:solidFill>
                <a:latin typeface="+mn-lt"/>
                <a:ea typeface="+mn-ea"/>
                <a:cs typeface="+mn-cs"/>
              </a:defRPr>
            </a:pPr>
            <a:endParaRPr lang="en-US"/>
          </a:p>
        </c:txPr>
        <c:crossAx val="1478086191"/>
        <c:crosses val="autoZero"/>
        <c:auto val="1"/>
        <c:lblAlgn val="ctr"/>
        <c:lblOffset val="100"/>
        <c:noMultiLvlLbl val="0"/>
      </c:catAx>
      <c:valAx>
        <c:axId val="1478086191"/>
        <c:scaling>
          <c:orientation val="minMax"/>
        </c:scaling>
        <c:delete val="1"/>
        <c:axPos val="l"/>
        <c:numFmt formatCode="0.00" sourceLinked="1"/>
        <c:majorTickMark val="none"/>
        <c:minorTickMark val="none"/>
        <c:tickLblPos val="nextTo"/>
        <c:crossAx val="1478094831"/>
        <c:crosses val="autoZero"/>
        <c:crossBetween val="between"/>
      </c:valAx>
      <c:spPr>
        <a:noFill/>
      </c:spPr>
    </c:plotArea>
    <c:plotVisOnly val="1"/>
    <c:dispBlanksAs val="zero"/>
    <c:showDLblsOverMax val="0"/>
    <c:extLst/>
  </c:chart>
  <c:spPr>
    <a:noFill/>
    <a:ln w="9525" cap="flat" cmpd="sng" algn="ctr">
      <a:solidFill>
        <a:schemeClr val="tx1">
          <a:alpha val="97000"/>
        </a:schemeClr>
      </a:solidFill>
      <a:round/>
    </a:ln>
    <a:effectLst>
      <a:outerShdw blurRad="50800" dist="50800" dir="3660000" algn="ctr" rotWithShape="0">
        <a:srgbClr val="000000">
          <a:alpha val="43137"/>
        </a:srgbClr>
      </a:outerShdw>
      <a:softEdge rad="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[University_ranking_dashboard.xlsx]chart!PivotTable2</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State</a:t>
            </a:r>
            <a:r>
              <a:rPr lang="en-IN" b="1" baseline="0"/>
              <a:t> wise no of institutions</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rgbClr val="E94365"/>
            </a:solidFill>
            <a:round/>
          </a:ln>
          <a:effectLst/>
        </c:spPr>
        <c:marker>
          <c:symbol val="circle"/>
          <c:size val="5"/>
          <c:spPr>
            <a:solidFill>
              <a:srgbClr val="E94365"/>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E94365"/>
            </a:solidFill>
            <a:round/>
          </a:ln>
          <a:effectLst/>
        </c:spPr>
        <c:marker>
          <c:symbol val="circle"/>
          <c:size val="5"/>
          <c:spPr>
            <a:solidFill>
              <a:srgbClr val="E94365"/>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E94365"/>
            </a:solidFill>
            <a:round/>
          </a:ln>
          <a:effectLst/>
        </c:spPr>
        <c:marker>
          <c:symbol val="circle"/>
          <c:size val="5"/>
          <c:spPr>
            <a:solidFill>
              <a:srgbClr val="E94365"/>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E94365"/>
            </a:solidFill>
            <a:round/>
          </a:ln>
          <a:effectLst/>
        </c:spPr>
        <c:marker>
          <c:symbol val="circle"/>
          <c:size val="5"/>
          <c:spPr>
            <a:solidFill>
              <a:srgbClr val="E94365"/>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rgbClr val="E94365"/>
            </a:solidFill>
            <a:round/>
          </a:ln>
          <a:effectLst/>
        </c:spPr>
        <c:marker>
          <c:symbol val="circle"/>
          <c:size val="5"/>
          <c:spPr>
            <a:solidFill>
              <a:srgbClr val="E94365"/>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chart!$M$3</c:f>
              <c:strCache>
                <c:ptCount val="1"/>
                <c:pt idx="0">
                  <c:v>Total</c:v>
                </c:pt>
              </c:strCache>
            </c:strRef>
          </c:tx>
          <c:spPr>
            <a:ln w="28575" cap="rnd">
              <a:solidFill>
                <a:srgbClr val="E94365"/>
              </a:solidFill>
              <a:round/>
            </a:ln>
            <a:effectLst/>
          </c:spPr>
          <c:marker>
            <c:symbol val="circle"/>
            <c:size val="5"/>
            <c:spPr>
              <a:solidFill>
                <a:srgbClr val="E94365"/>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chart!$L$4:$L$26</c:f>
              <c:strCache>
                <c:ptCount val="22"/>
                <c:pt idx="0">
                  <c:v>Andhra Pradesh</c:v>
                </c:pt>
                <c:pt idx="1">
                  <c:v>Assam</c:v>
                </c:pt>
                <c:pt idx="2">
                  <c:v>Chandigarh</c:v>
                </c:pt>
                <c:pt idx="3">
                  <c:v>Delhi</c:v>
                </c:pt>
                <c:pt idx="4">
                  <c:v>Gujarat</c:v>
                </c:pt>
                <c:pt idx="5">
                  <c:v>Haryana</c:v>
                </c:pt>
                <c:pt idx="6">
                  <c:v>Himachal Pradesh</c:v>
                </c:pt>
                <c:pt idx="7">
                  <c:v>Jammu and Kashmir</c:v>
                </c:pt>
                <c:pt idx="8">
                  <c:v>Jharkhand</c:v>
                </c:pt>
                <c:pt idx="9">
                  <c:v>Karnataka</c:v>
                </c:pt>
                <c:pt idx="10">
                  <c:v>Kerala</c:v>
                </c:pt>
                <c:pt idx="11">
                  <c:v>Maharashtra</c:v>
                </c:pt>
                <c:pt idx="12">
                  <c:v>Mizoram</c:v>
                </c:pt>
                <c:pt idx="13">
                  <c:v>Odisha</c:v>
                </c:pt>
                <c:pt idx="14">
                  <c:v>Pondicherry</c:v>
                </c:pt>
                <c:pt idx="15">
                  <c:v>Punjab</c:v>
                </c:pt>
                <c:pt idx="16">
                  <c:v>Rajasthan</c:v>
                </c:pt>
                <c:pt idx="17">
                  <c:v>Tamil Nadu</c:v>
                </c:pt>
                <c:pt idx="18">
                  <c:v>Telangana</c:v>
                </c:pt>
                <c:pt idx="19">
                  <c:v>Uttar Pradesh</c:v>
                </c:pt>
                <c:pt idx="20">
                  <c:v>Uttarakhand</c:v>
                </c:pt>
                <c:pt idx="21">
                  <c:v>West Bengal</c:v>
                </c:pt>
              </c:strCache>
            </c:strRef>
          </c:cat>
          <c:val>
            <c:numRef>
              <c:f>chart!$M$4:$M$26</c:f>
              <c:numCache>
                <c:formatCode>General</c:formatCode>
                <c:ptCount val="22"/>
                <c:pt idx="0">
                  <c:v>5</c:v>
                </c:pt>
                <c:pt idx="1">
                  <c:v>2</c:v>
                </c:pt>
                <c:pt idx="2">
                  <c:v>1</c:v>
                </c:pt>
                <c:pt idx="3">
                  <c:v>7</c:v>
                </c:pt>
                <c:pt idx="4">
                  <c:v>1</c:v>
                </c:pt>
                <c:pt idx="5">
                  <c:v>2</c:v>
                </c:pt>
                <c:pt idx="6">
                  <c:v>1</c:v>
                </c:pt>
                <c:pt idx="7">
                  <c:v>2</c:v>
                </c:pt>
                <c:pt idx="8">
                  <c:v>1</c:v>
                </c:pt>
                <c:pt idx="9">
                  <c:v>11</c:v>
                </c:pt>
                <c:pt idx="10">
                  <c:v>4</c:v>
                </c:pt>
                <c:pt idx="11">
                  <c:v>10</c:v>
                </c:pt>
                <c:pt idx="12">
                  <c:v>1</c:v>
                </c:pt>
                <c:pt idx="13">
                  <c:v>2</c:v>
                </c:pt>
                <c:pt idx="14">
                  <c:v>1</c:v>
                </c:pt>
                <c:pt idx="15">
                  <c:v>7</c:v>
                </c:pt>
                <c:pt idx="16">
                  <c:v>3</c:v>
                </c:pt>
                <c:pt idx="17">
                  <c:v>22</c:v>
                </c:pt>
                <c:pt idx="18">
                  <c:v>3</c:v>
                </c:pt>
                <c:pt idx="19">
                  <c:v>9</c:v>
                </c:pt>
                <c:pt idx="20">
                  <c:v>3</c:v>
                </c:pt>
                <c:pt idx="21">
                  <c:v>2</c:v>
                </c:pt>
              </c:numCache>
            </c:numRef>
          </c:val>
          <c:smooth val="0"/>
          <c:extLst>
            <c:ext xmlns:c16="http://schemas.microsoft.com/office/drawing/2014/chart" uri="{C3380CC4-5D6E-409C-BE32-E72D297353CC}">
              <c16:uniqueId val="{00000000-8F05-457C-97EC-B49C94A4A4DB}"/>
            </c:ext>
          </c:extLst>
        </c:ser>
        <c:dLbls>
          <c:dLblPos val="t"/>
          <c:showLegendKey val="0"/>
          <c:showVal val="1"/>
          <c:showCatName val="0"/>
          <c:showSerName val="0"/>
          <c:showPercent val="0"/>
          <c:showBubbleSize val="0"/>
        </c:dLbls>
        <c:marker val="1"/>
        <c:smooth val="0"/>
        <c:axId val="1478078031"/>
        <c:axId val="1478091951"/>
      </c:lineChart>
      <c:catAx>
        <c:axId val="14780780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478091951"/>
        <c:crosses val="autoZero"/>
        <c:auto val="1"/>
        <c:lblAlgn val="ctr"/>
        <c:lblOffset val="100"/>
        <c:noMultiLvlLbl val="0"/>
      </c:catAx>
      <c:valAx>
        <c:axId val="1478091951"/>
        <c:scaling>
          <c:orientation val="minMax"/>
        </c:scaling>
        <c:delete val="1"/>
        <c:axPos val="l"/>
        <c:numFmt formatCode="General" sourceLinked="1"/>
        <c:majorTickMark val="none"/>
        <c:minorTickMark val="none"/>
        <c:tickLblPos val="nextTo"/>
        <c:crossAx val="1478078031"/>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solidFill>
      <a:round/>
    </a:ln>
    <a:effectLst>
      <a:outerShdw blurRad="50800" dist="50800" dir="3660000" algn="ctr" rotWithShape="0">
        <a:srgbClr val="000000">
          <a:alpha val="43137"/>
        </a:srgb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6"/>
    </mc:Choice>
    <mc:Fallback>
      <c:style val="6"/>
    </mc:Fallback>
  </mc:AlternateContent>
  <c:pivotSource>
    <c:name>[University_ranking_dashboard.xlsx]chart!PivotTable5</c:name>
    <c:fmtId val="27"/>
  </c:pivotSource>
  <c:chart>
    <c:title>
      <c:tx>
        <c:rich>
          <a:bodyPr rot="0" spcFirstLastPara="1" vertOverflow="ellipsis" vert="horz" wrap="square" anchor="ctr" anchorCtr="1"/>
          <a:lstStyle/>
          <a:p>
            <a:pPr>
              <a:defRPr lang="en-US" sz="1400" b="1" i="0" u="none" strike="noStrike" kern="1200" spc="0" baseline="0">
                <a:solidFill>
                  <a:schemeClr val="tx1"/>
                </a:solidFill>
                <a:latin typeface="+mn-lt"/>
                <a:ea typeface="+mn-ea"/>
                <a:cs typeface="+mn-cs"/>
              </a:defRPr>
            </a:pPr>
            <a:r>
              <a:rPr lang="en-IN" sz="1400"/>
              <a:t>Top 5 rank wise  Institutes</a:t>
            </a:r>
          </a:p>
        </c:rich>
      </c:tx>
      <c:overlay val="0"/>
      <c:spPr>
        <a:noFill/>
        <a:ln>
          <a:noFill/>
        </a:ln>
        <a:effectLst/>
      </c:spPr>
      <c:txPr>
        <a:bodyPr rot="0" spcFirstLastPara="1" vertOverflow="ellipsis" vert="horz" wrap="square" anchor="ctr" anchorCtr="1"/>
        <a:lstStyle/>
        <a:p>
          <a:pPr>
            <a:defRPr lang="en-US" sz="1400" b="1" i="0" u="none" strike="noStrike" kern="1200" spc="0" baseline="0">
              <a:solidFill>
                <a:schemeClr val="tx1"/>
              </a:solidFill>
              <a:latin typeface="+mn-lt"/>
              <a:ea typeface="+mn-ea"/>
              <a:cs typeface="+mn-cs"/>
            </a:defRPr>
          </a:pPr>
          <a:endParaRPr lang="en-IN"/>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5"/>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6"/>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7"/>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8"/>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9"/>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5"/>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6"/>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7"/>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8"/>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9"/>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5"/>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6"/>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7"/>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8"/>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9"/>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5"/>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6"/>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7"/>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8"/>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9"/>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5"/>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6"/>
        <c:spPr>
          <a:solidFill>
            <a:srgbClr val="E94365"/>
          </a:solidFill>
          <a:ln>
            <a:solidFill>
              <a:schemeClr val="tx1"/>
            </a:solidFill>
          </a:ln>
          <a:effectLst/>
        </c:spPr>
        <c:marker>
          <c:symbol val="none"/>
        </c:marker>
        <c:dLbl>
          <c:idx val="0"/>
          <c:spPr>
            <a:noFill/>
            <a:ln>
              <a:noFill/>
            </a:ln>
            <a:effectLst/>
          </c:spPr>
          <c:txPr>
            <a:bodyPr rot="0" spcFirstLastPara="1" vertOverflow="ellipsis" vert="horz" wrap="square" anchor="ctr" anchorCtr="1"/>
            <a:lstStyle/>
            <a:p>
              <a:pPr>
                <a:defRPr lang="en-US" sz="10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7"/>
        <c:spPr>
          <a:solidFill>
            <a:srgbClr val="E94365"/>
          </a:solidFill>
          <a:ln>
            <a:solidFill>
              <a:schemeClr val="tx1"/>
            </a:solidFill>
          </a:ln>
          <a:effectLst/>
        </c:spPr>
        <c:marker>
          <c:symbol val="none"/>
        </c:marker>
        <c:dLbl>
          <c:idx val="0"/>
          <c:spPr>
            <a:noFill/>
            <a:ln>
              <a:noFill/>
            </a:ln>
            <a:effectLst/>
          </c:spPr>
          <c:txPr>
            <a:bodyPr rot="0" spcFirstLastPara="1" vertOverflow="ellipsis" vert="horz" wrap="square" anchor="ctr" anchorCtr="1"/>
            <a:lstStyle/>
            <a:p>
              <a:pPr>
                <a:defRPr lang="en-US" sz="10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8"/>
        <c:spPr>
          <a:solidFill>
            <a:srgbClr val="E94365"/>
          </a:solidFill>
          <a:ln>
            <a:solidFill>
              <a:schemeClr val="tx1"/>
            </a:solidFill>
          </a:ln>
          <a:effectLst/>
        </c:spPr>
        <c:marker>
          <c:symbol val="none"/>
        </c:marker>
        <c:dLbl>
          <c:idx val="0"/>
          <c:spPr>
            <a:noFill/>
            <a:ln>
              <a:noFill/>
            </a:ln>
            <a:effectLst/>
          </c:spPr>
          <c:txPr>
            <a:bodyPr rot="0" spcFirstLastPara="1" vertOverflow="ellipsis" vert="horz" wrap="square" anchor="ctr" anchorCtr="1"/>
            <a:lstStyle/>
            <a:p>
              <a:pPr>
                <a:defRPr lang="en-US" sz="10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9"/>
        <c:spPr>
          <a:solidFill>
            <a:srgbClr val="E94365"/>
          </a:solidFill>
          <a:ln>
            <a:solidFill>
              <a:schemeClr val="tx1"/>
            </a:solidFill>
          </a:ln>
          <a:effectLst/>
        </c:spPr>
        <c:marker>
          <c:symbol val="none"/>
        </c:marker>
        <c:dLbl>
          <c:idx val="0"/>
          <c:spPr>
            <a:noFill/>
            <a:ln>
              <a:noFill/>
            </a:ln>
            <a:effectLst/>
          </c:spPr>
          <c:txPr>
            <a:bodyPr rot="0" spcFirstLastPara="1" vertOverflow="ellipsis" vert="horz" wrap="square" anchor="ctr" anchorCtr="1"/>
            <a:lstStyle/>
            <a:p>
              <a:pPr>
                <a:defRPr lang="en-US" sz="10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0"/>
        <c:spPr>
          <a:solidFill>
            <a:srgbClr val="E94365"/>
          </a:solidFill>
          <a:ln>
            <a:solidFill>
              <a:schemeClr val="tx1"/>
            </a:solidFill>
          </a:ln>
          <a:effectLst/>
        </c:spPr>
        <c:marker>
          <c:symbol val="none"/>
        </c:marker>
        <c:dLbl>
          <c:idx val="0"/>
          <c:spPr>
            <a:noFill/>
            <a:ln>
              <a:noFill/>
            </a:ln>
            <a:effectLst/>
          </c:spPr>
          <c:txPr>
            <a:bodyPr rot="0" spcFirstLastPara="1" vertOverflow="ellipsis" vert="horz" wrap="square" anchor="ctr" anchorCtr="1"/>
            <a:lstStyle/>
            <a:p>
              <a:pPr>
                <a:defRPr lang="en-US" sz="10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1"/>
        <c:spPr>
          <a:solidFill>
            <a:srgbClr val="E94365"/>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2"/>
        <c:spPr>
          <a:solidFill>
            <a:srgbClr val="E94365"/>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3"/>
        <c:spPr>
          <a:solidFill>
            <a:srgbClr val="E94365"/>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4"/>
        <c:spPr>
          <a:solidFill>
            <a:srgbClr val="E94365"/>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5"/>
        <c:spPr>
          <a:solidFill>
            <a:srgbClr val="E94365"/>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6"/>
        <c:spPr>
          <a:solidFill>
            <a:srgbClr val="E94365"/>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7"/>
        <c:spPr>
          <a:solidFill>
            <a:srgbClr val="E94365"/>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8"/>
        <c:spPr>
          <a:solidFill>
            <a:srgbClr val="E94365"/>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9"/>
        <c:spPr>
          <a:solidFill>
            <a:srgbClr val="E94365"/>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0"/>
        <c:spPr>
          <a:solidFill>
            <a:srgbClr val="E94365"/>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1"/>
        <c:spPr>
          <a:solidFill>
            <a:srgbClr val="E94365"/>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2"/>
        <c:spPr>
          <a:solidFill>
            <a:srgbClr val="E94365"/>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3"/>
        <c:spPr>
          <a:solidFill>
            <a:srgbClr val="E94365"/>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4"/>
        <c:spPr>
          <a:solidFill>
            <a:srgbClr val="E94365"/>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5"/>
        <c:spPr>
          <a:solidFill>
            <a:srgbClr val="E94365"/>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6"/>
        <c:spPr>
          <a:solidFill>
            <a:srgbClr val="E94365"/>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7"/>
        <c:spPr>
          <a:solidFill>
            <a:srgbClr val="E94365"/>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8"/>
        <c:spPr>
          <a:solidFill>
            <a:srgbClr val="E94365"/>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9"/>
        <c:spPr>
          <a:solidFill>
            <a:srgbClr val="E94365"/>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0"/>
        <c:spPr>
          <a:solidFill>
            <a:srgbClr val="E94365"/>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chart!$AP$5:$AP$6</c:f>
              <c:strCache>
                <c:ptCount val="1"/>
                <c:pt idx="0">
                  <c:v>1</c:v>
                </c:pt>
              </c:strCache>
            </c:strRef>
          </c:tx>
          <c:spPr>
            <a:solidFill>
              <a:srgbClr val="E94365"/>
            </a:solidFill>
            <a:ln>
              <a:solidFill>
                <a:schemeClr val="tx1"/>
              </a:solidFill>
            </a:ln>
            <a:effectLst/>
          </c:spPr>
          <c:invertIfNegative val="0"/>
          <c:cat>
            <c:strRef>
              <c:f>chart!$AO$7:$AO$12</c:f>
              <c:strCache>
                <c:ptCount val="5"/>
                <c:pt idx="0">
                  <c:v>Banaras Hindu University</c:v>
                </c:pt>
                <c:pt idx="1">
                  <c:v>Indian Institute of Science</c:v>
                </c:pt>
                <c:pt idx="2">
                  <c:v>Jamia Millia Islamia</c:v>
                </c:pt>
                <c:pt idx="3">
                  <c:v>Jawaharlal Nehru University</c:v>
                </c:pt>
                <c:pt idx="4">
                  <c:v>Manipal Academy of Higher Education</c:v>
                </c:pt>
              </c:strCache>
            </c:strRef>
          </c:cat>
          <c:val>
            <c:numRef>
              <c:f>chart!$AP$7:$AP$12</c:f>
              <c:numCache>
                <c:formatCode>General</c:formatCode>
                <c:ptCount val="5"/>
                <c:pt idx="1">
                  <c:v>5388.61</c:v>
                </c:pt>
              </c:numCache>
            </c:numRef>
          </c:val>
          <c:extLst>
            <c:ext xmlns:c16="http://schemas.microsoft.com/office/drawing/2014/chart" uri="{C3380CC4-5D6E-409C-BE32-E72D297353CC}">
              <c16:uniqueId val="{00000000-2E87-4231-AB45-808DF47CC793}"/>
            </c:ext>
          </c:extLst>
        </c:ser>
        <c:ser>
          <c:idx val="1"/>
          <c:order val="1"/>
          <c:tx>
            <c:strRef>
              <c:f>chart!$AQ$5:$AQ$6</c:f>
              <c:strCache>
                <c:ptCount val="1"/>
                <c:pt idx="0">
                  <c:v>2</c:v>
                </c:pt>
              </c:strCache>
            </c:strRef>
          </c:tx>
          <c:spPr>
            <a:solidFill>
              <a:srgbClr val="E94365"/>
            </a:solidFill>
            <a:ln>
              <a:solidFill>
                <a:schemeClr val="tx1"/>
              </a:solidFill>
            </a:ln>
            <a:effectLst/>
          </c:spPr>
          <c:invertIfNegative val="0"/>
          <c:cat>
            <c:strRef>
              <c:f>chart!$AO$7:$AO$12</c:f>
              <c:strCache>
                <c:ptCount val="5"/>
                <c:pt idx="0">
                  <c:v>Banaras Hindu University</c:v>
                </c:pt>
                <c:pt idx="1">
                  <c:v>Indian Institute of Science</c:v>
                </c:pt>
                <c:pt idx="2">
                  <c:v>Jamia Millia Islamia</c:v>
                </c:pt>
                <c:pt idx="3">
                  <c:v>Jawaharlal Nehru University</c:v>
                </c:pt>
                <c:pt idx="4">
                  <c:v>Manipal Academy of Higher Education</c:v>
                </c:pt>
              </c:strCache>
            </c:strRef>
          </c:cat>
          <c:val>
            <c:numRef>
              <c:f>chart!$AQ$7:$AQ$12</c:f>
              <c:numCache>
                <c:formatCode>General</c:formatCode>
                <c:ptCount val="5"/>
                <c:pt idx="3">
                  <c:v>5388.61</c:v>
                </c:pt>
              </c:numCache>
            </c:numRef>
          </c:val>
          <c:extLst>
            <c:ext xmlns:c16="http://schemas.microsoft.com/office/drawing/2014/chart" uri="{C3380CC4-5D6E-409C-BE32-E72D297353CC}">
              <c16:uniqueId val="{00000001-2E87-4231-AB45-808DF47CC793}"/>
            </c:ext>
          </c:extLst>
        </c:ser>
        <c:ser>
          <c:idx val="2"/>
          <c:order val="2"/>
          <c:tx>
            <c:strRef>
              <c:f>chart!$AR$5:$AR$6</c:f>
              <c:strCache>
                <c:ptCount val="1"/>
                <c:pt idx="0">
                  <c:v>3</c:v>
                </c:pt>
              </c:strCache>
            </c:strRef>
          </c:tx>
          <c:spPr>
            <a:solidFill>
              <a:srgbClr val="E94365"/>
            </a:solidFill>
            <a:ln>
              <a:solidFill>
                <a:schemeClr val="tx1"/>
              </a:solidFill>
            </a:ln>
            <a:effectLst/>
          </c:spPr>
          <c:invertIfNegative val="0"/>
          <c:cat>
            <c:strRef>
              <c:f>chart!$AO$7:$AO$12</c:f>
              <c:strCache>
                <c:ptCount val="5"/>
                <c:pt idx="0">
                  <c:v>Banaras Hindu University</c:v>
                </c:pt>
                <c:pt idx="1">
                  <c:v>Indian Institute of Science</c:v>
                </c:pt>
                <c:pt idx="2">
                  <c:v>Jamia Millia Islamia</c:v>
                </c:pt>
                <c:pt idx="3">
                  <c:v>Jawaharlal Nehru University</c:v>
                </c:pt>
                <c:pt idx="4">
                  <c:v>Manipal Academy of Higher Education</c:v>
                </c:pt>
              </c:strCache>
            </c:strRef>
          </c:cat>
          <c:val>
            <c:numRef>
              <c:f>chart!$AR$7:$AR$12</c:f>
              <c:numCache>
                <c:formatCode>General</c:formatCode>
                <c:ptCount val="5"/>
                <c:pt idx="2">
                  <c:v>5388.61</c:v>
                </c:pt>
              </c:numCache>
            </c:numRef>
          </c:val>
          <c:extLst>
            <c:ext xmlns:c16="http://schemas.microsoft.com/office/drawing/2014/chart" uri="{C3380CC4-5D6E-409C-BE32-E72D297353CC}">
              <c16:uniqueId val="{00000002-2E87-4231-AB45-808DF47CC793}"/>
            </c:ext>
          </c:extLst>
        </c:ser>
        <c:ser>
          <c:idx val="3"/>
          <c:order val="3"/>
          <c:tx>
            <c:strRef>
              <c:f>chart!$AS$5:$AS$6</c:f>
              <c:strCache>
                <c:ptCount val="1"/>
                <c:pt idx="0">
                  <c:v>4</c:v>
                </c:pt>
              </c:strCache>
            </c:strRef>
          </c:tx>
          <c:spPr>
            <a:solidFill>
              <a:srgbClr val="E94365"/>
            </a:solidFill>
            <a:ln>
              <a:solidFill>
                <a:schemeClr val="tx1"/>
              </a:solidFill>
            </a:ln>
            <a:effectLst/>
          </c:spPr>
          <c:invertIfNegative val="0"/>
          <c:cat>
            <c:strRef>
              <c:f>chart!$AO$7:$AO$12</c:f>
              <c:strCache>
                <c:ptCount val="5"/>
                <c:pt idx="0">
                  <c:v>Banaras Hindu University</c:v>
                </c:pt>
                <c:pt idx="1">
                  <c:v>Indian Institute of Science</c:v>
                </c:pt>
                <c:pt idx="2">
                  <c:v>Jamia Millia Islamia</c:v>
                </c:pt>
                <c:pt idx="3">
                  <c:v>Jawaharlal Nehru University</c:v>
                </c:pt>
                <c:pt idx="4">
                  <c:v>Manipal Academy of Higher Education</c:v>
                </c:pt>
              </c:strCache>
            </c:strRef>
          </c:cat>
          <c:val>
            <c:numRef>
              <c:f>chart!$AS$7:$AS$12</c:f>
              <c:numCache>
                <c:formatCode>General</c:formatCode>
                <c:ptCount val="5"/>
                <c:pt idx="4">
                  <c:v>5388.61</c:v>
                </c:pt>
              </c:numCache>
            </c:numRef>
          </c:val>
          <c:extLst>
            <c:ext xmlns:c16="http://schemas.microsoft.com/office/drawing/2014/chart" uri="{C3380CC4-5D6E-409C-BE32-E72D297353CC}">
              <c16:uniqueId val="{00000003-2E87-4231-AB45-808DF47CC793}"/>
            </c:ext>
          </c:extLst>
        </c:ser>
        <c:ser>
          <c:idx val="4"/>
          <c:order val="4"/>
          <c:tx>
            <c:strRef>
              <c:f>chart!$AT$5:$AT$6</c:f>
              <c:strCache>
                <c:ptCount val="1"/>
                <c:pt idx="0">
                  <c:v>5</c:v>
                </c:pt>
              </c:strCache>
            </c:strRef>
          </c:tx>
          <c:spPr>
            <a:solidFill>
              <a:srgbClr val="E94365"/>
            </a:solidFill>
            <a:ln>
              <a:solidFill>
                <a:schemeClr val="tx1"/>
              </a:solidFill>
            </a:ln>
            <a:effectLst/>
          </c:spPr>
          <c:invertIfNegative val="0"/>
          <c:cat>
            <c:strRef>
              <c:f>chart!$AO$7:$AO$12</c:f>
              <c:strCache>
                <c:ptCount val="5"/>
                <c:pt idx="0">
                  <c:v>Banaras Hindu University</c:v>
                </c:pt>
                <c:pt idx="1">
                  <c:v>Indian Institute of Science</c:v>
                </c:pt>
                <c:pt idx="2">
                  <c:v>Jamia Millia Islamia</c:v>
                </c:pt>
                <c:pt idx="3">
                  <c:v>Jawaharlal Nehru University</c:v>
                </c:pt>
                <c:pt idx="4">
                  <c:v>Manipal Academy of Higher Education</c:v>
                </c:pt>
              </c:strCache>
            </c:strRef>
          </c:cat>
          <c:val>
            <c:numRef>
              <c:f>chart!$AT$7:$AT$12</c:f>
              <c:numCache>
                <c:formatCode>General</c:formatCode>
                <c:ptCount val="5"/>
                <c:pt idx="0">
                  <c:v>5388.61</c:v>
                </c:pt>
              </c:numCache>
            </c:numRef>
          </c:val>
          <c:extLst>
            <c:ext xmlns:c16="http://schemas.microsoft.com/office/drawing/2014/chart" uri="{C3380CC4-5D6E-409C-BE32-E72D297353CC}">
              <c16:uniqueId val="{00000004-2E87-4231-AB45-808DF47CC793}"/>
            </c:ext>
          </c:extLst>
        </c:ser>
        <c:dLbls>
          <c:showLegendKey val="0"/>
          <c:showVal val="0"/>
          <c:showCatName val="0"/>
          <c:showSerName val="0"/>
          <c:showPercent val="0"/>
          <c:showBubbleSize val="0"/>
        </c:dLbls>
        <c:gapWidth val="182"/>
        <c:axId val="214593679"/>
        <c:axId val="214600399"/>
      </c:barChart>
      <c:catAx>
        <c:axId val="2145936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1" i="0" u="none" strike="noStrike" kern="1200" baseline="0">
                <a:solidFill>
                  <a:schemeClr val="tx1"/>
                </a:solidFill>
                <a:latin typeface="+mn-lt"/>
                <a:ea typeface="+mn-ea"/>
                <a:cs typeface="+mn-cs"/>
              </a:defRPr>
            </a:pPr>
            <a:endParaRPr lang="en-US"/>
          </a:p>
        </c:txPr>
        <c:crossAx val="214600399"/>
        <c:crosses val="autoZero"/>
        <c:auto val="1"/>
        <c:lblAlgn val="ctr"/>
        <c:lblOffset val="100"/>
        <c:noMultiLvlLbl val="0"/>
      </c:catAx>
      <c:valAx>
        <c:axId val="214600399"/>
        <c:scaling>
          <c:orientation val="minMax"/>
        </c:scaling>
        <c:delete val="1"/>
        <c:axPos val="b"/>
        <c:numFmt formatCode="General" sourceLinked="1"/>
        <c:majorTickMark val="none"/>
        <c:minorTickMark val="none"/>
        <c:tickLblPos val="nextTo"/>
        <c:crossAx val="2145936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solidFill>
      <a:round/>
    </a:ln>
    <a:effectLst>
      <a:outerShdw blurRad="50800" dist="50800" dir="3660000" algn="ctr" rotWithShape="0">
        <a:srgbClr val="000000">
          <a:alpha val="43137"/>
        </a:srgbClr>
      </a:outerShdw>
    </a:effectLst>
  </c:spPr>
  <c:txPr>
    <a:bodyPr/>
    <a:lstStyle/>
    <a:p>
      <a:pPr>
        <a:defRPr lang="en-US" sz="1000" b="1"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[University_ranking_dashboard.xlsx]chart!PivotTable3</c:name>
    <c:fmtId val="14"/>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Grade</a:t>
            </a:r>
            <a:r>
              <a:rPr lang="en-US" b="1" baseline="0"/>
              <a:t> wise no of instiutes</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C0000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0"/>
          <c:showBubbleSize val="0"/>
          <c:separator>
</c:separator>
          <c:extLst>
            <c:ext xmlns:c15="http://schemas.microsoft.com/office/drawing/2012/chart" uri="{CE6537A1-D6FC-4f65-9D91-7224C49458BB}"/>
          </c:extLst>
        </c:dLbl>
      </c:pivotFmt>
      <c:pivotFmt>
        <c:idx val="1"/>
        <c:spPr>
          <a:solidFill>
            <a:srgbClr val="C00000">
              <a:alpha val="75000"/>
            </a:srgbClr>
          </a:solidFill>
          <a:ln w="19050">
            <a:solidFill>
              <a:schemeClr val="lt1"/>
            </a:solidFill>
          </a:ln>
          <a:effectLst/>
        </c:spPr>
        <c:dLbl>
          <c:idx val="0"/>
          <c:layout>
            <c:manualLayout>
              <c:x val="0.10138888888888879"/>
              <c:y val="9.722222222222222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15:layout>
                <c:manualLayout>
                  <c:w val="0.12269444444444444"/>
                  <c:h val="0.20041666666666666"/>
                </c:manualLayout>
              </c15:layout>
            </c:ext>
          </c:extLst>
        </c:dLbl>
      </c:pivotFmt>
      <c:pivotFmt>
        <c:idx val="2"/>
        <c:spPr>
          <a:solidFill>
            <a:srgbClr val="C00000"/>
          </a:solidFill>
          <a:ln w="19050">
            <a:solidFill>
              <a:schemeClr val="lt1"/>
            </a:solidFill>
          </a:ln>
          <a:effectLst/>
        </c:spPr>
        <c:dLbl>
          <c:idx val="0"/>
          <c:layout>
            <c:manualLayout>
              <c:x val="-0.19583333333333333"/>
              <c:y val="2.0833697871099423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15:layout>
                <c:manualLayout>
                  <c:w val="0.11276399825021872"/>
                  <c:h val="0.13097222222222221"/>
                </c:manualLayout>
              </c15:layout>
            </c:ext>
          </c:extLst>
        </c:dLbl>
      </c:pivotFmt>
      <c:pivotFmt>
        <c:idx val="3"/>
        <c:spPr>
          <a:solidFill>
            <a:srgbClr val="C00000">
              <a:alpha val="60000"/>
            </a:srgbClr>
          </a:solidFill>
          <a:ln w="19050">
            <a:solidFill>
              <a:schemeClr val="lt1"/>
            </a:solidFill>
          </a:ln>
          <a:effectLst/>
        </c:spPr>
      </c:pivotFmt>
      <c:pivotFmt>
        <c:idx val="4"/>
        <c:spPr>
          <a:solidFill>
            <a:srgbClr val="C00000">
              <a:alpha val="64000"/>
            </a:srgbClr>
          </a:solidFill>
          <a:ln w="19050">
            <a:solidFill>
              <a:schemeClr val="lt1"/>
            </a:solidFill>
          </a:ln>
          <a:effectLst/>
        </c:spPr>
      </c:pivotFmt>
      <c:pivotFmt>
        <c:idx val="5"/>
        <c:spPr>
          <a:solidFill>
            <a:srgbClr val="C0000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0"/>
          <c:showBubbleSize val="0"/>
          <c:separator>
</c:separator>
          <c:extLst>
            <c:ext xmlns:c15="http://schemas.microsoft.com/office/drawing/2012/chart" uri="{CE6537A1-D6FC-4f65-9D91-7224C49458BB}"/>
          </c:extLst>
        </c:dLbl>
      </c:pivotFmt>
      <c:pivotFmt>
        <c:idx val="6"/>
        <c:spPr>
          <a:solidFill>
            <a:srgbClr val="C00000"/>
          </a:solidFill>
          <a:ln w="19050">
            <a:solidFill>
              <a:schemeClr val="lt1"/>
            </a:solidFill>
          </a:ln>
          <a:effectLst/>
        </c:spPr>
        <c:dLbl>
          <c:idx val="0"/>
          <c:layout>
            <c:manualLayout>
              <c:x val="-0.19583333333333333"/>
              <c:y val="2.0833697871099423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15:layout>
                <c:manualLayout>
                  <c:w val="0.11276399825021872"/>
                  <c:h val="0.13097222222222221"/>
                </c:manualLayout>
              </c15:layout>
            </c:ext>
          </c:extLst>
        </c:dLbl>
      </c:pivotFmt>
      <c:pivotFmt>
        <c:idx val="7"/>
        <c:spPr>
          <a:solidFill>
            <a:srgbClr val="C00000">
              <a:alpha val="75000"/>
            </a:srgbClr>
          </a:solidFill>
          <a:ln w="19050">
            <a:solidFill>
              <a:schemeClr val="lt1"/>
            </a:solidFill>
          </a:ln>
          <a:effectLst/>
        </c:spPr>
        <c:dLbl>
          <c:idx val="0"/>
          <c:layout>
            <c:manualLayout>
              <c:x val="0.10138888888888879"/>
              <c:y val="9.722222222222222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15:layout>
                <c:manualLayout>
                  <c:w val="0.12269444444444444"/>
                  <c:h val="0.20041666666666666"/>
                </c:manualLayout>
              </c15:layout>
            </c:ext>
          </c:extLst>
        </c:dLbl>
      </c:pivotFmt>
      <c:pivotFmt>
        <c:idx val="8"/>
        <c:spPr>
          <a:solidFill>
            <a:srgbClr val="C00000">
              <a:alpha val="60000"/>
            </a:srgbClr>
          </a:solidFill>
          <a:ln w="19050">
            <a:solidFill>
              <a:schemeClr val="lt1"/>
            </a:solidFill>
          </a:ln>
          <a:effectLst/>
        </c:spPr>
      </c:pivotFmt>
      <c:pivotFmt>
        <c:idx val="9"/>
        <c:spPr>
          <a:solidFill>
            <a:srgbClr val="C00000">
              <a:alpha val="64000"/>
            </a:srgbClr>
          </a:solidFill>
          <a:ln w="19050">
            <a:solidFill>
              <a:schemeClr val="lt1"/>
            </a:solidFill>
          </a:ln>
          <a:effectLst/>
        </c:spPr>
      </c:pivotFmt>
      <c:pivotFmt>
        <c:idx val="10"/>
        <c:spPr>
          <a:solidFill>
            <a:srgbClr val="C0000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0"/>
          <c:showBubbleSize val="0"/>
          <c:separator>
</c:separator>
          <c:extLst>
            <c:ext xmlns:c15="http://schemas.microsoft.com/office/drawing/2012/chart" uri="{CE6537A1-D6FC-4f65-9D91-7224C49458BB}"/>
          </c:extLst>
        </c:dLbl>
      </c:pivotFmt>
      <c:pivotFmt>
        <c:idx val="11"/>
        <c:spPr>
          <a:solidFill>
            <a:srgbClr val="C00000"/>
          </a:solidFill>
          <a:ln w="19050">
            <a:solidFill>
              <a:schemeClr val="lt1"/>
            </a:solidFill>
          </a:ln>
          <a:effectLst/>
        </c:spPr>
        <c:dLbl>
          <c:idx val="0"/>
          <c:layout>
            <c:manualLayout>
              <c:x val="-0.27311010465797037"/>
              <c:y val="9.4363388399979389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15:layout>
                <c:manualLayout>
                  <c:w val="0.16706628776666071"/>
                  <c:h val="0.19088526924330537"/>
                </c:manualLayout>
              </c15:layout>
            </c:ext>
          </c:extLst>
        </c:dLbl>
      </c:pivotFmt>
      <c:pivotFmt>
        <c:idx val="12"/>
        <c:spPr>
          <a:solidFill>
            <a:srgbClr val="C00000">
              <a:alpha val="75000"/>
            </a:srgbClr>
          </a:solidFill>
          <a:ln w="19050">
            <a:solidFill>
              <a:schemeClr val="lt1"/>
            </a:solidFill>
          </a:ln>
          <a:effectLst/>
        </c:spPr>
        <c:dLbl>
          <c:idx val="0"/>
          <c:layout>
            <c:manualLayout>
              <c:x val="0.10138888888888879"/>
              <c:y val="9.722222222222222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15:layout>
                <c:manualLayout>
                  <c:w val="0.12269444444444444"/>
                  <c:h val="0.20041666666666666"/>
                </c:manualLayout>
              </c15:layout>
            </c:ext>
          </c:extLst>
        </c:dLbl>
      </c:pivotFmt>
      <c:pivotFmt>
        <c:idx val="13"/>
        <c:spPr>
          <a:solidFill>
            <a:srgbClr val="C00000">
              <a:alpha val="60000"/>
            </a:srgbClr>
          </a:solidFill>
          <a:ln w="19050">
            <a:solidFill>
              <a:schemeClr val="lt1"/>
            </a:solidFill>
          </a:ln>
          <a:effectLst/>
        </c:spPr>
      </c:pivotFmt>
      <c:pivotFmt>
        <c:idx val="14"/>
        <c:spPr>
          <a:solidFill>
            <a:srgbClr val="C00000">
              <a:alpha val="64000"/>
            </a:srgbClr>
          </a:solidFill>
          <a:ln w="19050">
            <a:solidFill>
              <a:schemeClr val="lt1"/>
            </a:solidFill>
          </a:ln>
          <a:effectLst/>
        </c:spPr>
        <c:dLbl>
          <c:idx val="0"/>
          <c:layout>
            <c:manualLayout>
              <c:x val="-2.9239766081871364E-2"/>
              <c:y val="5.446623093681917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extLst>
        </c:dLbl>
      </c:pivotFmt>
      <c:pivotFmt>
        <c:idx val="15"/>
        <c:spPr>
          <a:solidFill>
            <a:srgbClr val="C0000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0"/>
          <c:showBubbleSize val="0"/>
          <c:separator>
</c:separator>
          <c:extLst>
            <c:ext xmlns:c15="http://schemas.microsoft.com/office/drawing/2012/chart" uri="{CE6537A1-D6FC-4f65-9D91-7224C49458BB}"/>
          </c:extLst>
        </c:dLbl>
      </c:pivotFmt>
      <c:pivotFmt>
        <c:idx val="16"/>
        <c:spPr>
          <a:solidFill>
            <a:srgbClr val="C00000"/>
          </a:solidFill>
          <a:ln w="19050">
            <a:solidFill>
              <a:schemeClr val="lt1"/>
            </a:solidFill>
          </a:ln>
          <a:effectLst/>
        </c:spPr>
        <c:dLbl>
          <c:idx val="0"/>
          <c:layout>
            <c:manualLayout>
              <c:x val="-0.27311010465797037"/>
              <c:y val="9.4363388399979389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15:layout>
                <c:manualLayout>
                  <c:w val="0.16706628776666071"/>
                  <c:h val="0.19088526924330537"/>
                </c:manualLayout>
              </c15:layout>
            </c:ext>
          </c:extLst>
        </c:dLbl>
      </c:pivotFmt>
      <c:pivotFmt>
        <c:idx val="17"/>
        <c:spPr>
          <a:solidFill>
            <a:srgbClr val="C00000">
              <a:alpha val="75000"/>
            </a:srgbClr>
          </a:solidFill>
          <a:ln w="19050">
            <a:solidFill>
              <a:schemeClr val="lt1"/>
            </a:solidFill>
          </a:ln>
          <a:effectLst/>
        </c:spPr>
        <c:dLbl>
          <c:idx val="0"/>
          <c:layout>
            <c:manualLayout>
              <c:x val="0.10138888888888879"/>
              <c:y val="9.722222222222222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15:layout>
                <c:manualLayout>
                  <c:w val="0.12269444444444444"/>
                  <c:h val="0.20041666666666666"/>
                </c:manualLayout>
              </c15:layout>
            </c:ext>
          </c:extLst>
        </c:dLbl>
      </c:pivotFmt>
      <c:pivotFmt>
        <c:idx val="18"/>
        <c:spPr>
          <a:solidFill>
            <a:srgbClr val="C00000">
              <a:alpha val="60000"/>
            </a:srgbClr>
          </a:solidFill>
          <a:ln w="19050">
            <a:solidFill>
              <a:schemeClr val="lt1"/>
            </a:solidFill>
          </a:ln>
          <a:effectLst/>
        </c:spPr>
      </c:pivotFmt>
      <c:pivotFmt>
        <c:idx val="19"/>
        <c:spPr>
          <a:solidFill>
            <a:srgbClr val="C00000">
              <a:alpha val="64000"/>
            </a:srgbClr>
          </a:solidFill>
          <a:ln w="19050">
            <a:solidFill>
              <a:schemeClr val="lt1"/>
            </a:solidFill>
          </a:ln>
          <a:effectLst/>
        </c:spPr>
        <c:dLbl>
          <c:idx val="0"/>
          <c:layout>
            <c:manualLayout>
              <c:x val="-2.9239766081871364E-2"/>
              <c:y val="5.446623093681917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extLst>
        </c:dLbl>
      </c:pivotFmt>
      <c:pivotFmt>
        <c:idx val="20"/>
        <c:spPr>
          <a:solidFill>
            <a:srgbClr val="C0000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0"/>
          <c:showBubbleSize val="0"/>
          <c:separator>
</c:separator>
          <c:extLst>
            <c:ext xmlns:c15="http://schemas.microsoft.com/office/drawing/2012/chart" uri="{CE6537A1-D6FC-4f65-9D91-7224C49458BB}"/>
          </c:extLst>
        </c:dLbl>
      </c:pivotFmt>
      <c:pivotFmt>
        <c:idx val="21"/>
        <c:spPr>
          <a:solidFill>
            <a:srgbClr val="C00000"/>
          </a:solidFill>
          <a:ln w="19050">
            <a:solidFill>
              <a:schemeClr val="lt1"/>
            </a:solidFill>
          </a:ln>
          <a:effectLst/>
        </c:spPr>
        <c:dLbl>
          <c:idx val="0"/>
          <c:layout>
            <c:manualLayout>
              <c:x val="-0.27311010465797037"/>
              <c:y val="9.4363388399979389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15:layout>
                <c:manualLayout>
                  <c:w val="0.16706628776666071"/>
                  <c:h val="0.19088526924330537"/>
                </c:manualLayout>
              </c15:layout>
            </c:ext>
          </c:extLst>
        </c:dLbl>
      </c:pivotFmt>
      <c:pivotFmt>
        <c:idx val="22"/>
        <c:spPr>
          <a:solidFill>
            <a:srgbClr val="C00000">
              <a:alpha val="75000"/>
            </a:srgbClr>
          </a:solidFill>
          <a:ln w="19050">
            <a:solidFill>
              <a:schemeClr val="lt1"/>
            </a:solidFill>
          </a:ln>
          <a:effectLst/>
        </c:spPr>
        <c:dLbl>
          <c:idx val="0"/>
          <c:layout>
            <c:manualLayout>
              <c:x val="0.10138888888888879"/>
              <c:y val="9.722222222222222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15:layout>
                <c:manualLayout>
                  <c:w val="0.12269444444444444"/>
                  <c:h val="0.20041666666666666"/>
                </c:manualLayout>
              </c15:layout>
            </c:ext>
          </c:extLst>
        </c:dLbl>
      </c:pivotFmt>
      <c:pivotFmt>
        <c:idx val="23"/>
        <c:spPr>
          <a:solidFill>
            <a:srgbClr val="C00000">
              <a:alpha val="60000"/>
            </a:srgbClr>
          </a:solidFill>
          <a:ln w="19050">
            <a:solidFill>
              <a:schemeClr val="lt1"/>
            </a:solidFill>
          </a:ln>
          <a:effectLst/>
        </c:spPr>
      </c:pivotFmt>
      <c:pivotFmt>
        <c:idx val="24"/>
        <c:spPr>
          <a:solidFill>
            <a:srgbClr val="C00000">
              <a:alpha val="64000"/>
            </a:srgbClr>
          </a:solidFill>
          <a:ln w="19050">
            <a:solidFill>
              <a:schemeClr val="lt1"/>
            </a:solidFill>
          </a:ln>
          <a:effectLst/>
        </c:spPr>
        <c:dLbl>
          <c:idx val="0"/>
          <c:layout>
            <c:manualLayout>
              <c:x val="-2.9239766081871364E-2"/>
              <c:y val="5.446623093681917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extLst>
        </c:dLbl>
      </c:pivotFmt>
    </c:pivotFmts>
    <c:plotArea>
      <c:layout/>
      <c:pieChart>
        <c:varyColors val="1"/>
        <c:ser>
          <c:idx val="0"/>
          <c:order val="0"/>
          <c:tx>
            <c:strRef>
              <c:f>chart!$V$4</c:f>
              <c:strCache>
                <c:ptCount val="1"/>
                <c:pt idx="0">
                  <c:v>Total</c:v>
                </c:pt>
              </c:strCache>
            </c:strRef>
          </c:tx>
          <c:spPr>
            <a:solidFill>
              <a:srgbClr val="C00000"/>
            </a:solidFill>
          </c:spPr>
          <c:dPt>
            <c:idx val="0"/>
            <c:bubble3D val="0"/>
            <c:spPr>
              <a:solidFill>
                <a:srgbClr val="C00000"/>
              </a:solidFill>
              <a:ln w="19050">
                <a:solidFill>
                  <a:schemeClr val="lt1"/>
                </a:solidFill>
              </a:ln>
              <a:effectLst/>
            </c:spPr>
            <c:extLst>
              <c:ext xmlns:c16="http://schemas.microsoft.com/office/drawing/2014/chart" uri="{C3380CC4-5D6E-409C-BE32-E72D297353CC}">
                <c16:uniqueId val="{00000001-313C-4D79-BA54-3A468DAC847E}"/>
              </c:ext>
            </c:extLst>
          </c:dPt>
          <c:dPt>
            <c:idx val="1"/>
            <c:bubble3D val="0"/>
            <c:spPr>
              <a:solidFill>
                <a:srgbClr val="C00000">
                  <a:alpha val="75000"/>
                </a:srgbClr>
              </a:solidFill>
              <a:ln w="19050">
                <a:solidFill>
                  <a:schemeClr val="lt1"/>
                </a:solidFill>
              </a:ln>
              <a:effectLst/>
            </c:spPr>
            <c:extLst>
              <c:ext xmlns:c16="http://schemas.microsoft.com/office/drawing/2014/chart" uri="{C3380CC4-5D6E-409C-BE32-E72D297353CC}">
                <c16:uniqueId val="{00000003-313C-4D79-BA54-3A468DAC847E}"/>
              </c:ext>
            </c:extLst>
          </c:dPt>
          <c:dPt>
            <c:idx val="2"/>
            <c:bubble3D val="0"/>
            <c:spPr>
              <a:solidFill>
                <a:srgbClr val="C00000">
                  <a:alpha val="60000"/>
                </a:srgbClr>
              </a:solidFill>
              <a:ln w="19050">
                <a:solidFill>
                  <a:schemeClr val="lt1"/>
                </a:solidFill>
              </a:ln>
              <a:effectLst/>
            </c:spPr>
            <c:extLst>
              <c:ext xmlns:c16="http://schemas.microsoft.com/office/drawing/2014/chart" uri="{C3380CC4-5D6E-409C-BE32-E72D297353CC}">
                <c16:uniqueId val="{00000005-313C-4D79-BA54-3A468DAC847E}"/>
              </c:ext>
            </c:extLst>
          </c:dPt>
          <c:dPt>
            <c:idx val="3"/>
            <c:bubble3D val="0"/>
            <c:spPr>
              <a:solidFill>
                <a:srgbClr val="C00000">
                  <a:alpha val="64000"/>
                </a:srgbClr>
              </a:solidFill>
              <a:ln w="19050">
                <a:solidFill>
                  <a:schemeClr val="lt1"/>
                </a:solidFill>
              </a:ln>
              <a:effectLst/>
            </c:spPr>
            <c:extLst>
              <c:ext xmlns:c16="http://schemas.microsoft.com/office/drawing/2014/chart" uri="{C3380CC4-5D6E-409C-BE32-E72D297353CC}">
                <c16:uniqueId val="{00000007-313C-4D79-BA54-3A468DAC847E}"/>
              </c:ext>
            </c:extLst>
          </c:dPt>
          <c:dLbls>
            <c:dLbl>
              <c:idx val="0"/>
              <c:layout>
                <c:manualLayout>
                  <c:x val="-0.27311010465797037"/>
                  <c:y val="9.4363388399979389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15:layout>
                    <c:manualLayout>
                      <c:w val="0.16706628776666071"/>
                      <c:h val="0.19088526924330537"/>
                    </c:manualLayout>
                  </c15:layout>
                </c:ext>
                <c:ext xmlns:c16="http://schemas.microsoft.com/office/drawing/2014/chart" uri="{C3380CC4-5D6E-409C-BE32-E72D297353CC}">
                  <c16:uniqueId val="{00000001-313C-4D79-BA54-3A468DAC847E}"/>
                </c:ext>
              </c:extLst>
            </c:dLbl>
            <c:dLbl>
              <c:idx val="1"/>
              <c:layout>
                <c:manualLayout>
                  <c:x val="0.10138888888888879"/>
                  <c:y val="9.7222222222222224E-2"/>
                </c:manualLayout>
              </c:layout>
              <c:dLblPos val="bestFit"/>
              <c:showLegendKey val="0"/>
              <c:showVal val="1"/>
              <c:showCatName val="1"/>
              <c:showSerName val="0"/>
              <c:showPercent val="0"/>
              <c:showBubbleSize val="0"/>
              <c:separator>
</c:separator>
              <c:extLst>
                <c:ext xmlns:c15="http://schemas.microsoft.com/office/drawing/2012/chart" uri="{CE6537A1-D6FC-4f65-9D91-7224C49458BB}">
                  <c15:layout>
                    <c:manualLayout>
                      <c:w val="0.12269444444444444"/>
                      <c:h val="0.20041666666666666"/>
                    </c:manualLayout>
                  </c15:layout>
                </c:ext>
                <c:ext xmlns:c16="http://schemas.microsoft.com/office/drawing/2014/chart" uri="{C3380CC4-5D6E-409C-BE32-E72D297353CC}">
                  <c16:uniqueId val="{00000003-313C-4D79-BA54-3A468DAC847E}"/>
                </c:ext>
              </c:extLst>
            </c:dLbl>
            <c:dLbl>
              <c:idx val="3"/>
              <c:layout>
                <c:manualLayout>
                  <c:x val="-2.9239766081871364E-2"/>
                  <c:y val="5.4466230936819175E-2"/>
                </c:manualLayout>
              </c:layout>
              <c:dLblPos val="bestFi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7-313C-4D79-BA54-3A468DAC847E}"/>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0"/>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chart!$U$5:$U$9</c:f>
              <c:strCache>
                <c:ptCount val="4"/>
                <c:pt idx="0">
                  <c:v>A</c:v>
                </c:pt>
                <c:pt idx="1">
                  <c:v>C</c:v>
                </c:pt>
                <c:pt idx="2">
                  <c:v>D</c:v>
                </c:pt>
                <c:pt idx="3">
                  <c:v>F</c:v>
                </c:pt>
              </c:strCache>
            </c:strRef>
          </c:cat>
          <c:val>
            <c:numRef>
              <c:f>chart!$V$5:$V$9</c:f>
              <c:numCache>
                <c:formatCode>General</c:formatCode>
                <c:ptCount val="4"/>
                <c:pt idx="0">
                  <c:v>1</c:v>
                </c:pt>
                <c:pt idx="1">
                  <c:v>18</c:v>
                </c:pt>
                <c:pt idx="2">
                  <c:v>40</c:v>
                </c:pt>
                <c:pt idx="3">
                  <c:v>41</c:v>
                </c:pt>
              </c:numCache>
            </c:numRef>
          </c:val>
          <c:extLst>
            <c:ext xmlns:c16="http://schemas.microsoft.com/office/drawing/2014/chart" uri="{C3380CC4-5D6E-409C-BE32-E72D297353CC}">
              <c16:uniqueId val="{00000008-313C-4D79-BA54-3A468DAC847E}"/>
            </c:ext>
          </c:extLst>
        </c:ser>
        <c:dLbls>
          <c:dLblPos val="outEnd"/>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alpha val="97000"/>
        </a:schemeClr>
      </a:solidFill>
      <a:round/>
    </a:ln>
    <a:effectLst>
      <a:outerShdw blurRad="50800" dist="50800" dir="3660000" algn="ctr" rotWithShape="0">
        <a:schemeClr val="tx1">
          <a:alpha val="43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[University_ranking_dashboard.xlsx]chart!PivotTable1</c:name>
    <c:fmtId val="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State</a:t>
            </a:r>
            <a:r>
              <a:rPr lang="en-US" b="1" baseline="0"/>
              <a:t> wise average score</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E94365"/>
          </a:solidFill>
          <a:ln>
            <a:noFill/>
          </a:ln>
          <a:effectLst>
            <a:outerShdw blurRad="50800" dist="50800" algn="ctr" rotWithShape="0">
              <a:srgbClr val="000000">
                <a:alpha val="43137"/>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E94365"/>
          </a:solidFill>
          <a:ln>
            <a:noFill/>
          </a:ln>
          <a:effectLst>
            <a:outerShdw blurRad="50800" dist="50800" algn="ctr" rotWithShape="0">
              <a:srgbClr val="000000">
                <a:alpha val="43137"/>
              </a:srgbClr>
            </a:outerShdw>
          </a:effectLst>
        </c:spPr>
        <c:dLbl>
          <c:idx val="0"/>
          <c:layout>
            <c:manualLayout>
              <c:x val="0.32630424321959745"/>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7440813648293966"/>
          <c:y val="0.17171296296296296"/>
          <c:w val="0.68948075240594919"/>
          <c:h val="0.77736111111111106"/>
        </c:manualLayout>
      </c:layout>
      <c:barChart>
        <c:barDir val="bar"/>
        <c:grouping val="clustered"/>
        <c:varyColors val="0"/>
        <c:ser>
          <c:idx val="0"/>
          <c:order val="0"/>
          <c:tx>
            <c:strRef>
              <c:f>chart!$C$3</c:f>
              <c:strCache>
                <c:ptCount val="1"/>
                <c:pt idx="0">
                  <c:v>Total</c:v>
                </c:pt>
              </c:strCache>
            </c:strRef>
          </c:tx>
          <c:spPr>
            <a:solidFill>
              <a:srgbClr val="E94365"/>
            </a:solidFill>
            <a:ln>
              <a:noFill/>
            </a:ln>
            <a:effectLst>
              <a:outerShdw blurRad="50800" dist="50800" algn="ctr" rotWithShape="0">
                <a:srgbClr val="000000">
                  <a:alpha val="43137"/>
                </a:srgbClr>
              </a:outerShdw>
            </a:effectLst>
          </c:spPr>
          <c:invertIfNegative val="0"/>
          <c:dPt>
            <c:idx val="12"/>
            <c:invertIfNegative val="0"/>
            <c:bubble3D val="0"/>
            <c:extLst>
              <c:ext xmlns:c16="http://schemas.microsoft.com/office/drawing/2014/chart" uri="{C3380CC4-5D6E-409C-BE32-E72D297353CC}">
                <c16:uniqueId val="{00000002-3C7D-442C-B711-0984F8DD3474}"/>
              </c:ext>
            </c:extLst>
          </c:dPt>
          <c:dLbls>
            <c:dLbl>
              <c:idx val="12"/>
              <c:layout>
                <c:manualLayout>
                  <c:x val="0.32630424321959745"/>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C7D-442C-B711-0984F8DD347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chart!$B$4:$B$26</c:f>
              <c:strCache>
                <c:ptCount val="22"/>
                <c:pt idx="0">
                  <c:v>Andhra Pradesh</c:v>
                </c:pt>
                <c:pt idx="1">
                  <c:v>Assam</c:v>
                </c:pt>
                <c:pt idx="2">
                  <c:v>Chandigarh</c:v>
                </c:pt>
                <c:pt idx="3">
                  <c:v>Delhi</c:v>
                </c:pt>
                <c:pt idx="4">
                  <c:v>Gujarat</c:v>
                </c:pt>
                <c:pt idx="5">
                  <c:v>Haryana</c:v>
                </c:pt>
                <c:pt idx="6">
                  <c:v>Himachal Pradesh</c:v>
                </c:pt>
                <c:pt idx="7">
                  <c:v>Jammu and Kashmir</c:v>
                </c:pt>
                <c:pt idx="8">
                  <c:v>Jharkhand</c:v>
                </c:pt>
                <c:pt idx="9">
                  <c:v>Karnataka</c:v>
                </c:pt>
                <c:pt idx="10">
                  <c:v>Kerala</c:v>
                </c:pt>
                <c:pt idx="11">
                  <c:v>Maharashtra</c:v>
                </c:pt>
                <c:pt idx="12">
                  <c:v>Mizoram</c:v>
                </c:pt>
                <c:pt idx="13">
                  <c:v>Odisha</c:v>
                </c:pt>
                <c:pt idx="14">
                  <c:v>Pondicherry</c:v>
                </c:pt>
                <c:pt idx="15">
                  <c:v>Punjab</c:v>
                </c:pt>
                <c:pt idx="16">
                  <c:v>Rajasthan</c:v>
                </c:pt>
                <c:pt idx="17">
                  <c:v>Tamil Nadu</c:v>
                </c:pt>
                <c:pt idx="18">
                  <c:v>Telangana</c:v>
                </c:pt>
                <c:pt idx="19">
                  <c:v>Uttar Pradesh</c:v>
                </c:pt>
                <c:pt idx="20">
                  <c:v>Uttarakhand</c:v>
                </c:pt>
                <c:pt idx="21">
                  <c:v>West Bengal</c:v>
                </c:pt>
              </c:strCache>
            </c:strRef>
          </c:cat>
          <c:val>
            <c:numRef>
              <c:f>chart!$C$4:$C$26</c:f>
              <c:numCache>
                <c:formatCode>0.00</c:formatCode>
                <c:ptCount val="22"/>
                <c:pt idx="0">
                  <c:v>53.886099999999999</c:v>
                </c:pt>
                <c:pt idx="1">
                  <c:v>53.886099999999999</c:v>
                </c:pt>
                <c:pt idx="2">
                  <c:v>53.886099999999999</c:v>
                </c:pt>
                <c:pt idx="3">
                  <c:v>53.886099999999999</c:v>
                </c:pt>
                <c:pt idx="4">
                  <c:v>53.886099999999999</c:v>
                </c:pt>
                <c:pt idx="5">
                  <c:v>53.886099999999999</c:v>
                </c:pt>
                <c:pt idx="6">
                  <c:v>53.886099999999999</c:v>
                </c:pt>
                <c:pt idx="7">
                  <c:v>53.886099999999999</c:v>
                </c:pt>
                <c:pt idx="8">
                  <c:v>53.886099999999999</c:v>
                </c:pt>
                <c:pt idx="9">
                  <c:v>53.886099999999999</c:v>
                </c:pt>
                <c:pt idx="10">
                  <c:v>53.886099999999999</c:v>
                </c:pt>
                <c:pt idx="11">
                  <c:v>53.886099999999999</c:v>
                </c:pt>
                <c:pt idx="12">
                  <c:v>53.886099999999999</c:v>
                </c:pt>
                <c:pt idx="13">
                  <c:v>53.886099999999999</c:v>
                </c:pt>
                <c:pt idx="14">
                  <c:v>53.886099999999999</c:v>
                </c:pt>
                <c:pt idx="15">
                  <c:v>53.886099999999999</c:v>
                </c:pt>
                <c:pt idx="16">
                  <c:v>53.886099999999999</c:v>
                </c:pt>
                <c:pt idx="17">
                  <c:v>53.886099999999999</c:v>
                </c:pt>
                <c:pt idx="18">
                  <c:v>53.886099999999999</c:v>
                </c:pt>
                <c:pt idx="19">
                  <c:v>53.886099999999999</c:v>
                </c:pt>
                <c:pt idx="20">
                  <c:v>53.886099999999999</c:v>
                </c:pt>
                <c:pt idx="21">
                  <c:v>53.886099999999999</c:v>
                </c:pt>
              </c:numCache>
            </c:numRef>
          </c:val>
          <c:extLst>
            <c:ext xmlns:c16="http://schemas.microsoft.com/office/drawing/2014/chart" uri="{C3380CC4-5D6E-409C-BE32-E72D297353CC}">
              <c16:uniqueId val="{00000000-3C7D-442C-B711-0984F8DD3474}"/>
            </c:ext>
          </c:extLst>
        </c:ser>
        <c:dLbls>
          <c:showLegendKey val="0"/>
          <c:showVal val="0"/>
          <c:showCatName val="0"/>
          <c:showSerName val="0"/>
          <c:showPercent val="0"/>
          <c:showBubbleSize val="0"/>
        </c:dLbls>
        <c:gapWidth val="100"/>
        <c:axId val="849313936"/>
        <c:axId val="849292816"/>
      </c:barChart>
      <c:catAx>
        <c:axId val="8493139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849292816"/>
        <c:crosses val="autoZero"/>
        <c:auto val="1"/>
        <c:lblAlgn val="ctr"/>
        <c:lblOffset val="100"/>
        <c:noMultiLvlLbl val="0"/>
      </c:catAx>
      <c:valAx>
        <c:axId val="849292816"/>
        <c:scaling>
          <c:orientation val="minMax"/>
        </c:scaling>
        <c:delete val="1"/>
        <c:axPos val="b"/>
        <c:numFmt formatCode="0.00" sourceLinked="1"/>
        <c:majorTickMark val="none"/>
        <c:minorTickMark val="none"/>
        <c:tickLblPos val="nextTo"/>
        <c:crossAx val="8493139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solidFill>
      <a:round/>
    </a:ln>
    <a:effectLst>
      <a:outerShdw blurRad="50800" dist="12700" dir="5400000" algn="ctr" rotWithShape="0">
        <a:srgbClr val="000000">
          <a:alpha val="43137"/>
        </a:srgb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6"/>
    </mc:Choice>
    <mc:Fallback>
      <c:style val="6"/>
    </mc:Fallback>
  </mc:AlternateContent>
  <c:pivotSource>
    <c:name>[University_ranking_dashboard.xlsx]chart!PivotTable5</c:name>
    <c:fmtId val="0"/>
  </c:pivotSource>
  <c:chart>
    <c:title>
      <c:tx>
        <c:rich>
          <a:bodyPr rot="0" spcFirstLastPara="1" vertOverflow="ellipsis" vert="horz" wrap="square" anchor="ctr" anchorCtr="1"/>
          <a:lstStyle/>
          <a:p>
            <a:pPr>
              <a:defRPr lang="en-US" sz="1200" b="1" i="0" u="none" strike="noStrike" kern="1200" spc="0" baseline="0">
                <a:solidFill>
                  <a:schemeClr val="tx1"/>
                </a:solidFill>
                <a:latin typeface="+mn-lt"/>
                <a:ea typeface="+mn-ea"/>
                <a:cs typeface="+mn-cs"/>
              </a:defRPr>
            </a:pPr>
            <a:r>
              <a:rPr lang="en-IN"/>
              <a:t>Top 5 rank wise  Institutes</a:t>
            </a:r>
          </a:p>
        </c:rich>
      </c:tx>
      <c:overlay val="0"/>
      <c:spPr>
        <a:noFill/>
        <a:ln>
          <a:noFill/>
        </a:ln>
        <a:effectLst/>
      </c:spPr>
      <c:txPr>
        <a:bodyPr rot="0" spcFirstLastPara="1" vertOverflow="ellipsis" vert="horz" wrap="square" anchor="ctr" anchorCtr="1"/>
        <a:lstStyle/>
        <a:p>
          <a:pPr>
            <a:defRPr lang="en-US" sz="1200" b="1" i="0" u="none" strike="noStrike" kern="1200" spc="0" baseline="0">
              <a:solidFill>
                <a:schemeClr val="tx1"/>
              </a:solidFill>
              <a:latin typeface="+mn-lt"/>
              <a:ea typeface="+mn-ea"/>
              <a:cs typeface="+mn-cs"/>
            </a:defRPr>
          </a:pPr>
          <a:endParaRPr lang="en-IN"/>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5"/>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6"/>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7"/>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8"/>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9"/>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5"/>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6"/>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7"/>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8"/>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9"/>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5"/>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6"/>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7"/>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8"/>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9"/>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5"/>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6"/>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7"/>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8"/>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9"/>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5"/>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6"/>
        <c:spPr>
          <a:solidFill>
            <a:srgbClr val="E94365"/>
          </a:solidFill>
          <a:ln>
            <a:solidFill>
              <a:schemeClr val="tx1"/>
            </a:solidFill>
          </a:ln>
          <a:effectLst/>
        </c:spPr>
        <c:marker>
          <c:symbol val="none"/>
        </c:marker>
        <c:dLbl>
          <c:idx val="0"/>
          <c:spPr>
            <a:noFill/>
            <a:ln>
              <a:noFill/>
            </a:ln>
            <a:effectLst/>
          </c:spPr>
          <c:txPr>
            <a:bodyPr rot="0" spcFirstLastPara="1" vertOverflow="ellipsis" vert="horz" wrap="square" anchor="ctr" anchorCtr="1"/>
            <a:lstStyle/>
            <a:p>
              <a:pPr>
                <a:defRPr lang="en-US" sz="10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7"/>
        <c:spPr>
          <a:solidFill>
            <a:srgbClr val="E94365"/>
          </a:solidFill>
          <a:ln>
            <a:solidFill>
              <a:schemeClr val="tx1"/>
            </a:solidFill>
          </a:ln>
          <a:effectLst/>
        </c:spPr>
        <c:marker>
          <c:symbol val="none"/>
        </c:marker>
        <c:dLbl>
          <c:idx val="0"/>
          <c:spPr>
            <a:noFill/>
            <a:ln>
              <a:noFill/>
            </a:ln>
            <a:effectLst/>
          </c:spPr>
          <c:txPr>
            <a:bodyPr rot="0" spcFirstLastPara="1" vertOverflow="ellipsis" vert="horz" wrap="square" anchor="ctr" anchorCtr="1"/>
            <a:lstStyle/>
            <a:p>
              <a:pPr>
                <a:defRPr lang="en-US" sz="10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8"/>
        <c:spPr>
          <a:solidFill>
            <a:srgbClr val="E94365"/>
          </a:solidFill>
          <a:ln>
            <a:solidFill>
              <a:schemeClr val="tx1"/>
            </a:solidFill>
          </a:ln>
          <a:effectLst/>
        </c:spPr>
        <c:marker>
          <c:symbol val="none"/>
        </c:marker>
        <c:dLbl>
          <c:idx val="0"/>
          <c:spPr>
            <a:noFill/>
            <a:ln>
              <a:noFill/>
            </a:ln>
            <a:effectLst/>
          </c:spPr>
          <c:txPr>
            <a:bodyPr rot="0" spcFirstLastPara="1" vertOverflow="ellipsis" vert="horz" wrap="square" anchor="ctr" anchorCtr="1"/>
            <a:lstStyle/>
            <a:p>
              <a:pPr>
                <a:defRPr lang="en-US" sz="10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9"/>
        <c:spPr>
          <a:solidFill>
            <a:srgbClr val="E94365"/>
          </a:solidFill>
          <a:ln>
            <a:solidFill>
              <a:schemeClr val="tx1"/>
            </a:solidFill>
          </a:ln>
          <a:effectLst/>
        </c:spPr>
        <c:marker>
          <c:symbol val="none"/>
        </c:marker>
        <c:dLbl>
          <c:idx val="0"/>
          <c:spPr>
            <a:noFill/>
            <a:ln>
              <a:noFill/>
            </a:ln>
            <a:effectLst/>
          </c:spPr>
          <c:txPr>
            <a:bodyPr rot="0" spcFirstLastPara="1" vertOverflow="ellipsis" vert="horz" wrap="square" anchor="ctr" anchorCtr="1"/>
            <a:lstStyle/>
            <a:p>
              <a:pPr>
                <a:defRPr lang="en-US" sz="10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0"/>
        <c:spPr>
          <a:solidFill>
            <a:srgbClr val="E94365"/>
          </a:solidFill>
          <a:ln>
            <a:solidFill>
              <a:schemeClr val="tx1"/>
            </a:solidFill>
          </a:ln>
          <a:effectLst/>
        </c:spPr>
        <c:marker>
          <c:symbol val="none"/>
        </c:marker>
        <c:dLbl>
          <c:idx val="0"/>
          <c:spPr>
            <a:noFill/>
            <a:ln>
              <a:noFill/>
            </a:ln>
            <a:effectLst/>
          </c:spPr>
          <c:txPr>
            <a:bodyPr rot="0" spcFirstLastPara="1" vertOverflow="ellipsis" vert="horz" wrap="square" anchor="ctr" anchorCtr="1"/>
            <a:lstStyle/>
            <a:p>
              <a:pPr>
                <a:defRPr lang="en-US" sz="10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chart!$AP$5:$AP$6</c:f>
              <c:strCache>
                <c:ptCount val="1"/>
                <c:pt idx="0">
                  <c:v>1</c:v>
                </c:pt>
              </c:strCache>
            </c:strRef>
          </c:tx>
          <c:spPr>
            <a:solidFill>
              <a:srgbClr val="E94365"/>
            </a:solidFill>
            <a:ln>
              <a:solidFill>
                <a:schemeClr val="tx1"/>
              </a:solidFill>
            </a:ln>
            <a:effectLst/>
          </c:spPr>
          <c:invertIfNegative val="0"/>
          <c:cat>
            <c:strRef>
              <c:f>chart!$AO$7:$AO$12</c:f>
              <c:strCache>
                <c:ptCount val="5"/>
                <c:pt idx="0">
                  <c:v>Banaras Hindu University</c:v>
                </c:pt>
                <c:pt idx="1">
                  <c:v>Indian Institute of Science</c:v>
                </c:pt>
                <c:pt idx="2">
                  <c:v>Jamia Millia Islamia</c:v>
                </c:pt>
                <c:pt idx="3">
                  <c:v>Jawaharlal Nehru University</c:v>
                </c:pt>
                <c:pt idx="4">
                  <c:v>Manipal Academy of Higher Education</c:v>
                </c:pt>
              </c:strCache>
            </c:strRef>
          </c:cat>
          <c:val>
            <c:numRef>
              <c:f>chart!$AP$7:$AP$12</c:f>
              <c:numCache>
                <c:formatCode>General</c:formatCode>
                <c:ptCount val="5"/>
                <c:pt idx="1">
                  <c:v>5388.61</c:v>
                </c:pt>
              </c:numCache>
            </c:numRef>
          </c:val>
          <c:extLst>
            <c:ext xmlns:c16="http://schemas.microsoft.com/office/drawing/2014/chart" uri="{C3380CC4-5D6E-409C-BE32-E72D297353CC}">
              <c16:uniqueId val="{00000000-8D0B-4AC5-A921-F07B9FC10D33}"/>
            </c:ext>
          </c:extLst>
        </c:ser>
        <c:ser>
          <c:idx val="1"/>
          <c:order val="1"/>
          <c:tx>
            <c:strRef>
              <c:f>chart!$AQ$5:$AQ$6</c:f>
              <c:strCache>
                <c:ptCount val="1"/>
                <c:pt idx="0">
                  <c:v>2</c:v>
                </c:pt>
              </c:strCache>
            </c:strRef>
          </c:tx>
          <c:spPr>
            <a:solidFill>
              <a:srgbClr val="E94365"/>
            </a:solidFill>
            <a:ln>
              <a:solidFill>
                <a:schemeClr val="tx1"/>
              </a:solidFill>
            </a:ln>
            <a:effectLst/>
          </c:spPr>
          <c:invertIfNegative val="0"/>
          <c:cat>
            <c:strRef>
              <c:f>chart!$AO$7:$AO$12</c:f>
              <c:strCache>
                <c:ptCount val="5"/>
                <c:pt idx="0">
                  <c:v>Banaras Hindu University</c:v>
                </c:pt>
                <c:pt idx="1">
                  <c:v>Indian Institute of Science</c:v>
                </c:pt>
                <c:pt idx="2">
                  <c:v>Jamia Millia Islamia</c:v>
                </c:pt>
                <c:pt idx="3">
                  <c:v>Jawaharlal Nehru University</c:v>
                </c:pt>
                <c:pt idx="4">
                  <c:v>Manipal Academy of Higher Education</c:v>
                </c:pt>
              </c:strCache>
            </c:strRef>
          </c:cat>
          <c:val>
            <c:numRef>
              <c:f>chart!$AQ$7:$AQ$12</c:f>
              <c:numCache>
                <c:formatCode>General</c:formatCode>
                <c:ptCount val="5"/>
                <c:pt idx="3">
                  <c:v>5388.61</c:v>
                </c:pt>
              </c:numCache>
            </c:numRef>
          </c:val>
          <c:extLst>
            <c:ext xmlns:c16="http://schemas.microsoft.com/office/drawing/2014/chart" uri="{C3380CC4-5D6E-409C-BE32-E72D297353CC}">
              <c16:uniqueId val="{00000007-8D0B-4AC5-A921-F07B9FC10D33}"/>
            </c:ext>
          </c:extLst>
        </c:ser>
        <c:ser>
          <c:idx val="2"/>
          <c:order val="2"/>
          <c:tx>
            <c:strRef>
              <c:f>chart!$AR$5:$AR$6</c:f>
              <c:strCache>
                <c:ptCount val="1"/>
                <c:pt idx="0">
                  <c:v>3</c:v>
                </c:pt>
              </c:strCache>
            </c:strRef>
          </c:tx>
          <c:spPr>
            <a:solidFill>
              <a:srgbClr val="E94365"/>
            </a:solidFill>
            <a:ln>
              <a:solidFill>
                <a:schemeClr val="tx1"/>
              </a:solidFill>
            </a:ln>
            <a:effectLst/>
          </c:spPr>
          <c:invertIfNegative val="0"/>
          <c:cat>
            <c:strRef>
              <c:f>chart!$AO$7:$AO$12</c:f>
              <c:strCache>
                <c:ptCount val="5"/>
                <c:pt idx="0">
                  <c:v>Banaras Hindu University</c:v>
                </c:pt>
                <c:pt idx="1">
                  <c:v>Indian Institute of Science</c:v>
                </c:pt>
                <c:pt idx="2">
                  <c:v>Jamia Millia Islamia</c:v>
                </c:pt>
                <c:pt idx="3">
                  <c:v>Jawaharlal Nehru University</c:v>
                </c:pt>
                <c:pt idx="4">
                  <c:v>Manipal Academy of Higher Education</c:v>
                </c:pt>
              </c:strCache>
            </c:strRef>
          </c:cat>
          <c:val>
            <c:numRef>
              <c:f>chart!$AR$7:$AR$12</c:f>
              <c:numCache>
                <c:formatCode>General</c:formatCode>
                <c:ptCount val="5"/>
                <c:pt idx="2">
                  <c:v>5388.61</c:v>
                </c:pt>
              </c:numCache>
            </c:numRef>
          </c:val>
          <c:extLst>
            <c:ext xmlns:c16="http://schemas.microsoft.com/office/drawing/2014/chart" uri="{C3380CC4-5D6E-409C-BE32-E72D297353CC}">
              <c16:uniqueId val="{00000008-8D0B-4AC5-A921-F07B9FC10D33}"/>
            </c:ext>
          </c:extLst>
        </c:ser>
        <c:ser>
          <c:idx val="3"/>
          <c:order val="3"/>
          <c:tx>
            <c:strRef>
              <c:f>chart!$AS$5:$AS$6</c:f>
              <c:strCache>
                <c:ptCount val="1"/>
                <c:pt idx="0">
                  <c:v>4</c:v>
                </c:pt>
              </c:strCache>
            </c:strRef>
          </c:tx>
          <c:spPr>
            <a:solidFill>
              <a:srgbClr val="E94365"/>
            </a:solidFill>
            <a:ln>
              <a:solidFill>
                <a:schemeClr val="tx1"/>
              </a:solidFill>
            </a:ln>
            <a:effectLst/>
          </c:spPr>
          <c:invertIfNegative val="0"/>
          <c:cat>
            <c:strRef>
              <c:f>chart!$AO$7:$AO$12</c:f>
              <c:strCache>
                <c:ptCount val="5"/>
                <c:pt idx="0">
                  <c:v>Banaras Hindu University</c:v>
                </c:pt>
                <c:pt idx="1">
                  <c:v>Indian Institute of Science</c:v>
                </c:pt>
                <c:pt idx="2">
                  <c:v>Jamia Millia Islamia</c:v>
                </c:pt>
                <c:pt idx="3">
                  <c:v>Jawaharlal Nehru University</c:v>
                </c:pt>
                <c:pt idx="4">
                  <c:v>Manipal Academy of Higher Education</c:v>
                </c:pt>
              </c:strCache>
            </c:strRef>
          </c:cat>
          <c:val>
            <c:numRef>
              <c:f>chart!$AS$7:$AS$12</c:f>
              <c:numCache>
                <c:formatCode>General</c:formatCode>
                <c:ptCount val="5"/>
                <c:pt idx="4">
                  <c:v>5388.61</c:v>
                </c:pt>
              </c:numCache>
            </c:numRef>
          </c:val>
          <c:extLst>
            <c:ext xmlns:c16="http://schemas.microsoft.com/office/drawing/2014/chart" uri="{C3380CC4-5D6E-409C-BE32-E72D297353CC}">
              <c16:uniqueId val="{00000009-8D0B-4AC5-A921-F07B9FC10D33}"/>
            </c:ext>
          </c:extLst>
        </c:ser>
        <c:ser>
          <c:idx val="4"/>
          <c:order val="4"/>
          <c:tx>
            <c:strRef>
              <c:f>chart!$AT$5:$AT$6</c:f>
              <c:strCache>
                <c:ptCount val="1"/>
                <c:pt idx="0">
                  <c:v>5</c:v>
                </c:pt>
              </c:strCache>
            </c:strRef>
          </c:tx>
          <c:spPr>
            <a:solidFill>
              <a:srgbClr val="E94365"/>
            </a:solidFill>
            <a:ln>
              <a:solidFill>
                <a:schemeClr val="tx1"/>
              </a:solidFill>
            </a:ln>
            <a:effectLst/>
          </c:spPr>
          <c:invertIfNegative val="0"/>
          <c:cat>
            <c:strRef>
              <c:f>chart!$AO$7:$AO$12</c:f>
              <c:strCache>
                <c:ptCount val="5"/>
                <c:pt idx="0">
                  <c:v>Banaras Hindu University</c:v>
                </c:pt>
                <c:pt idx="1">
                  <c:v>Indian Institute of Science</c:v>
                </c:pt>
                <c:pt idx="2">
                  <c:v>Jamia Millia Islamia</c:v>
                </c:pt>
                <c:pt idx="3">
                  <c:v>Jawaharlal Nehru University</c:v>
                </c:pt>
                <c:pt idx="4">
                  <c:v>Manipal Academy of Higher Education</c:v>
                </c:pt>
              </c:strCache>
            </c:strRef>
          </c:cat>
          <c:val>
            <c:numRef>
              <c:f>chart!$AT$7:$AT$12</c:f>
              <c:numCache>
                <c:formatCode>General</c:formatCode>
                <c:ptCount val="5"/>
                <c:pt idx="0">
                  <c:v>5388.61</c:v>
                </c:pt>
              </c:numCache>
            </c:numRef>
          </c:val>
          <c:extLst>
            <c:ext xmlns:c16="http://schemas.microsoft.com/office/drawing/2014/chart" uri="{C3380CC4-5D6E-409C-BE32-E72D297353CC}">
              <c16:uniqueId val="{0000000A-8D0B-4AC5-A921-F07B9FC10D33}"/>
            </c:ext>
          </c:extLst>
        </c:ser>
        <c:dLbls>
          <c:showLegendKey val="0"/>
          <c:showVal val="0"/>
          <c:showCatName val="0"/>
          <c:showSerName val="0"/>
          <c:showPercent val="0"/>
          <c:showBubbleSize val="0"/>
        </c:dLbls>
        <c:gapWidth val="182"/>
        <c:axId val="214593679"/>
        <c:axId val="214600399"/>
      </c:barChart>
      <c:catAx>
        <c:axId val="2145936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1" i="0" u="none" strike="noStrike" kern="1200" baseline="0">
                <a:solidFill>
                  <a:schemeClr val="tx1"/>
                </a:solidFill>
                <a:latin typeface="+mn-lt"/>
                <a:ea typeface="+mn-ea"/>
                <a:cs typeface="+mn-cs"/>
              </a:defRPr>
            </a:pPr>
            <a:endParaRPr lang="en-US"/>
          </a:p>
        </c:txPr>
        <c:crossAx val="214600399"/>
        <c:crosses val="autoZero"/>
        <c:auto val="1"/>
        <c:lblAlgn val="ctr"/>
        <c:lblOffset val="100"/>
        <c:noMultiLvlLbl val="0"/>
      </c:catAx>
      <c:valAx>
        <c:axId val="214600399"/>
        <c:scaling>
          <c:orientation val="minMax"/>
        </c:scaling>
        <c:delete val="1"/>
        <c:axPos val="l"/>
        <c:numFmt formatCode="General" sourceLinked="1"/>
        <c:majorTickMark val="none"/>
        <c:minorTickMark val="none"/>
        <c:tickLblPos val="nextTo"/>
        <c:crossAx val="2145936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solidFill>
      <a:round/>
    </a:ln>
    <a:effectLst>
      <a:outerShdw blurRad="50800" dist="50800" dir="3660000" algn="ctr" rotWithShape="0">
        <a:srgbClr val="000000">
          <a:alpha val="43137"/>
        </a:srgbClr>
      </a:outerShdw>
    </a:effectLst>
  </c:spPr>
  <c:txPr>
    <a:bodyPr/>
    <a:lstStyle/>
    <a:p>
      <a:pPr>
        <a:defRPr lang="en-US" sz="1000" b="1"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[University_ranking_dashboard.xlsx]chart!PivotTable2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State</a:t>
            </a:r>
            <a:r>
              <a:rPr lang="en-IN" b="1" baseline="0"/>
              <a:t> wise no of institutions</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ln w="28575" cap="rnd">
            <a:solidFill>
              <a:srgbClr val="E94365"/>
            </a:solidFill>
            <a:round/>
          </a:ln>
          <a:effectLst/>
        </c:spPr>
        <c:marker>
          <c:symbol val="circle"/>
          <c:size val="5"/>
          <c:spPr>
            <a:solidFill>
              <a:srgbClr val="E94365"/>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chart!$M$3</c:f>
              <c:strCache>
                <c:ptCount val="1"/>
                <c:pt idx="0">
                  <c:v>Total</c:v>
                </c:pt>
              </c:strCache>
            </c:strRef>
          </c:tx>
          <c:spPr>
            <a:ln w="28575" cap="rnd">
              <a:solidFill>
                <a:srgbClr val="E94365"/>
              </a:solidFill>
              <a:round/>
            </a:ln>
            <a:effectLst/>
          </c:spPr>
          <c:marker>
            <c:symbol val="circle"/>
            <c:size val="5"/>
            <c:spPr>
              <a:solidFill>
                <a:srgbClr val="E94365"/>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chart!$L$4:$L$26</c:f>
              <c:strCache>
                <c:ptCount val="22"/>
                <c:pt idx="0">
                  <c:v>Andhra Pradesh</c:v>
                </c:pt>
                <c:pt idx="1">
                  <c:v>Assam</c:v>
                </c:pt>
                <c:pt idx="2">
                  <c:v>Chandigarh</c:v>
                </c:pt>
                <c:pt idx="3">
                  <c:v>Delhi</c:v>
                </c:pt>
                <c:pt idx="4">
                  <c:v>Gujarat</c:v>
                </c:pt>
                <c:pt idx="5">
                  <c:v>Haryana</c:v>
                </c:pt>
                <c:pt idx="6">
                  <c:v>Himachal Pradesh</c:v>
                </c:pt>
                <c:pt idx="7">
                  <c:v>Jammu and Kashmir</c:v>
                </c:pt>
                <c:pt idx="8">
                  <c:v>Jharkhand</c:v>
                </c:pt>
                <c:pt idx="9">
                  <c:v>Karnataka</c:v>
                </c:pt>
                <c:pt idx="10">
                  <c:v>Kerala</c:v>
                </c:pt>
                <c:pt idx="11">
                  <c:v>Maharashtra</c:v>
                </c:pt>
                <c:pt idx="12">
                  <c:v>Mizoram</c:v>
                </c:pt>
                <c:pt idx="13">
                  <c:v>Odisha</c:v>
                </c:pt>
                <c:pt idx="14">
                  <c:v>Pondicherry</c:v>
                </c:pt>
                <c:pt idx="15">
                  <c:v>Punjab</c:v>
                </c:pt>
                <c:pt idx="16">
                  <c:v>Rajasthan</c:v>
                </c:pt>
                <c:pt idx="17">
                  <c:v>Tamil Nadu</c:v>
                </c:pt>
                <c:pt idx="18">
                  <c:v>Telangana</c:v>
                </c:pt>
                <c:pt idx="19">
                  <c:v>Uttar Pradesh</c:v>
                </c:pt>
                <c:pt idx="20">
                  <c:v>Uttarakhand</c:v>
                </c:pt>
                <c:pt idx="21">
                  <c:v>West Bengal</c:v>
                </c:pt>
              </c:strCache>
            </c:strRef>
          </c:cat>
          <c:val>
            <c:numRef>
              <c:f>chart!$M$4:$M$26</c:f>
              <c:numCache>
                <c:formatCode>General</c:formatCode>
                <c:ptCount val="22"/>
                <c:pt idx="0">
                  <c:v>5</c:v>
                </c:pt>
                <c:pt idx="1">
                  <c:v>2</c:v>
                </c:pt>
                <c:pt idx="2">
                  <c:v>1</c:v>
                </c:pt>
                <c:pt idx="3">
                  <c:v>7</c:v>
                </c:pt>
                <c:pt idx="4">
                  <c:v>1</c:v>
                </c:pt>
                <c:pt idx="5">
                  <c:v>2</c:v>
                </c:pt>
                <c:pt idx="6">
                  <c:v>1</c:v>
                </c:pt>
                <c:pt idx="7">
                  <c:v>2</c:v>
                </c:pt>
                <c:pt idx="8">
                  <c:v>1</c:v>
                </c:pt>
                <c:pt idx="9">
                  <c:v>11</c:v>
                </c:pt>
                <c:pt idx="10">
                  <c:v>4</c:v>
                </c:pt>
                <c:pt idx="11">
                  <c:v>10</c:v>
                </c:pt>
                <c:pt idx="12">
                  <c:v>1</c:v>
                </c:pt>
                <c:pt idx="13">
                  <c:v>2</c:v>
                </c:pt>
                <c:pt idx="14">
                  <c:v>1</c:v>
                </c:pt>
                <c:pt idx="15">
                  <c:v>7</c:v>
                </c:pt>
                <c:pt idx="16">
                  <c:v>3</c:v>
                </c:pt>
                <c:pt idx="17">
                  <c:v>22</c:v>
                </c:pt>
                <c:pt idx="18">
                  <c:v>3</c:v>
                </c:pt>
                <c:pt idx="19">
                  <c:v>9</c:v>
                </c:pt>
                <c:pt idx="20">
                  <c:v>3</c:v>
                </c:pt>
                <c:pt idx="21">
                  <c:v>2</c:v>
                </c:pt>
              </c:numCache>
            </c:numRef>
          </c:val>
          <c:smooth val="0"/>
          <c:extLst>
            <c:ext xmlns:c16="http://schemas.microsoft.com/office/drawing/2014/chart" uri="{C3380CC4-5D6E-409C-BE32-E72D297353CC}">
              <c16:uniqueId val="{00000000-7F91-4E9B-9A45-846D73B68354}"/>
            </c:ext>
          </c:extLst>
        </c:ser>
        <c:dLbls>
          <c:dLblPos val="t"/>
          <c:showLegendKey val="0"/>
          <c:showVal val="1"/>
          <c:showCatName val="0"/>
          <c:showSerName val="0"/>
          <c:showPercent val="0"/>
          <c:showBubbleSize val="0"/>
        </c:dLbls>
        <c:marker val="1"/>
        <c:smooth val="0"/>
        <c:axId val="1478078031"/>
        <c:axId val="1478091951"/>
      </c:lineChart>
      <c:catAx>
        <c:axId val="14780780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478091951"/>
        <c:crosses val="autoZero"/>
        <c:auto val="1"/>
        <c:lblAlgn val="ctr"/>
        <c:lblOffset val="100"/>
        <c:noMultiLvlLbl val="0"/>
      </c:catAx>
      <c:valAx>
        <c:axId val="1478091951"/>
        <c:scaling>
          <c:orientation val="minMax"/>
        </c:scaling>
        <c:delete val="1"/>
        <c:axPos val="l"/>
        <c:numFmt formatCode="General" sourceLinked="1"/>
        <c:majorTickMark val="none"/>
        <c:minorTickMark val="none"/>
        <c:tickLblPos val="nextTo"/>
        <c:crossAx val="1478078031"/>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solidFill>
      <a:round/>
    </a:ln>
    <a:effectLst>
      <a:outerShdw blurRad="50800" dist="50800" dir="3660000" algn="ctr" rotWithShape="0">
        <a:srgbClr val="000000">
          <a:alpha val="43137"/>
        </a:srgb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[University_ranking_dashboard.xlsx]chart!PivotTable3</c:name>
    <c:fmtId val="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Grade</a:t>
            </a:r>
            <a:r>
              <a:rPr lang="en-US" b="1" baseline="0"/>
              <a:t> wise no of instiutes</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C0000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0"/>
          <c:showBubbleSize val="0"/>
          <c:separator>
</c:separator>
          <c:extLst>
            <c:ext xmlns:c15="http://schemas.microsoft.com/office/drawing/2012/chart" uri="{CE6537A1-D6FC-4f65-9D91-7224C49458BB}"/>
          </c:extLst>
        </c:dLbl>
      </c:pivotFmt>
      <c:pivotFmt>
        <c:idx val="1"/>
        <c:spPr>
          <a:solidFill>
            <a:srgbClr val="C00000">
              <a:alpha val="75000"/>
            </a:srgbClr>
          </a:solidFill>
          <a:ln w="19050">
            <a:solidFill>
              <a:schemeClr val="lt1"/>
            </a:solidFill>
          </a:ln>
          <a:effectLst/>
        </c:spPr>
        <c:dLbl>
          <c:idx val="0"/>
          <c:layout>
            <c:manualLayout>
              <c:x val="0.10138888888888879"/>
              <c:y val="9.722222222222222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15:layout>
                <c:manualLayout>
                  <c:w val="0.12269444444444444"/>
                  <c:h val="0.20041666666666666"/>
                </c:manualLayout>
              </c15:layout>
            </c:ext>
          </c:extLst>
        </c:dLbl>
      </c:pivotFmt>
      <c:pivotFmt>
        <c:idx val="2"/>
        <c:spPr>
          <a:solidFill>
            <a:srgbClr val="C00000"/>
          </a:solidFill>
          <a:ln w="19050">
            <a:solidFill>
              <a:schemeClr val="lt1"/>
            </a:solidFill>
          </a:ln>
          <a:effectLst/>
        </c:spPr>
        <c:dLbl>
          <c:idx val="0"/>
          <c:layout>
            <c:manualLayout>
              <c:x val="-0.19583333333333333"/>
              <c:y val="2.0833697871099423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15:layout>
                <c:manualLayout>
                  <c:w val="0.11276399825021872"/>
                  <c:h val="0.13097222222222221"/>
                </c:manualLayout>
              </c15:layout>
            </c:ext>
          </c:extLst>
        </c:dLbl>
      </c:pivotFmt>
      <c:pivotFmt>
        <c:idx val="3"/>
        <c:spPr>
          <a:solidFill>
            <a:srgbClr val="C00000">
              <a:alpha val="60000"/>
            </a:srgbClr>
          </a:solidFill>
          <a:ln w="19050">
            <a:solidFill>
              <a:schemeClr val="lt1"/>
            </a:solidFill>
          </a:ln>
          <a:effectLst/>
        </c:spPr>
      </c:pivotFmt>
      <c:pivotFmt>
        <c:idx val="4"/>
        <c:spPr>
          <a:solidFill>
            <a:srgbClr val="C00000">
              <a:alpha val="64000"/>
            </a:srgbClr>
          </a:solidFill>
          <a:ln w="19050">
            <a:solidFill>
              <a:schemeClr val="lt1"/>
            </a:solidFill>
          </a:ln>
          <a:effectLst/>
        </c:spPr>
      </c:pivotFmt>
    </c:pivotFmts>
    <c:plotArea>
      <c:layout/>
      <c:pieChart>
        <c:varyColors val="1"/>
        <c:ser>
          <c:idx val="0"/>
          <c:order val="0"/>
          <c:tx>
            <c:strRef>
              <c:f>chart!$V$4</c:f>
              <c:strCache>
                <c:ptCount val="1"/>
                <c:pt idx="0">
                  <c:v>Total</c:v>
                </c:pt>
              </c:strCache>
            </c:strRef>
          </c:tx>
          <c:spPr>
            <a:solidFill>
              <a:srgbClr val="C00000"/>
            </a:solidFill>
          </c:spPr>
          <c:dPt>
            <c:idx val="0"/>
            <c:bubble3D val="0"/>
            <c:spPr>
              <a:solidFill>
                <a:srgbClr val="C00000"/>
              </a:solidFill>
              <a:ln w="19050">
                <a:solidFill>
                  <a:schemeClr val="lt1"/>
                </a:solidFill>
              </a:ln>
              <a:effectLst/>
            </c:spPr>
            <c:extLst>
              <c:ext xmlns:c16="http://schemas.microsoft.com/office/drawing/2014/chart" uri="{C3380CC4-5D6E-409C-BE32-E72D297353CC}">
                <c16:uniqueId val="{00000004-B4EE-4613-9EBE-66BCDFBD97C3}"/>
              </c:ext>
            </c:extLst>
          </c:dPt>
          <c:dPt>
            <c:idx val="1"/>
            <c:bubble3D val="0"/>
            <c:spPr>
              <a:solidFill>
                <a:srgbClr val="C00000">
                  <a:alpha val="75000"/>
                </a:srgbClr>
              </a:solidFill>
              <a:ln w="19050">
                <a:solidFill>
                  <a:schemeClr val="lt1"/>
                </a:solidFill>
              </a:ln>
              <a:effectLst/>
            </c:spPr>
            <c:extLst>
              <c:ext xmlns:c16="http://schemas.microsoft.com/office/drawing/2014/chart" uri="{C3380CC4-5D6E-409C-BE32-E72D297353CC}">
                <c16:uniqueId val="{00000003-B4EE-4613-9EBE-66BCDFBD97C3}"/>
              </c:ext>
            </c:extLst>
          </c:dPt>
          <c:dPt>
            <c:idx val="2"/>
            <c:bubble3D val="0"/>
            <c:spPr>
              <a:solidFill>
                <a:srgbClr val="C00000">
                  <a:alpha val="60000"/>
                </a:srgbClr>
              </a:solidFill>
              <a:ln w="19050">
                <a:solidFill>
                  <a:schemeClr val="lt1"/>
                </a:solidFill>
              </a:ln>
              <a:effectLst/>
            </c:spPr>
            <c:extLst>
              <c:ext xmlns:c16="http://schemas.microsoft.com/office/drawing/2014/chart" uri="{C3380CC4-5D6E-409C-BE32-E72D297353CC}">
                <c16:uniqueId val="{00000005-8164-4DBF-B1A7-D405A945E678}"/>
              </c:ext>
            </c:extLst>
          </c:dPt>
          <c:dPt>
            <c:idx val="3"/>
            <c:bubble3D val="0"/>
            <c:spPr>
              <a:solidFill>
                <a:srgbClr val="C00000">
                  <a:alpha val="64000"/>
                </a:srgbClr>
              </a:solidFill>
              <a:ln w="19050">
                <a:solidFill>
                  <a:schemeClr val="lt1"/>
                </a:solidFill>
              </a:ln>
              <a:effectLst/>
            </c:spPr>
            <c:extLst>
              <c:ext xmlns:c16="http://schemas.microsoft.com/office/drawing/2014/chart" uri="{C3380CC4-5D6E-409C-BE32-E72D297353CC}">
                <c16:uniqueId val="{00000007-8164-4DBF-B1A7-D405A945E678}"/>
              </c:ext>
            </c:extLst>
          </c:dPt>
          <c:dLbls>
            <c:dLbl>
              <c:idx val="0"/>
              <c:layout>
                <c:manualLayout>
                  <c:x val="-0.19583333333333333"/>
                  <c:y val="2.0833697871099423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15:layout>
                    <c:manualLayout>
                      <c:w val="0.11276399825021872"/>
                      <c:h val="0.13097222222222221"/>
                    </c:manualLayout>
                  </c15:layout>
                </c:ext>
                <c:ext xmlns:c16="http://schemas.microsoft.com/office/drawing/2014/chart" uri="{C3380CC4-5D6E-409C-BE32-E72D297353CC}">
                  <c16:uniqueId val="{00000004-B4EE-4613-9EBE-66BCDFBD97C3}"/>
                </c:ext>
              </c:extLst>
            </c:dLbl>
            <c:dLbl>
              <c:idx val="1"/>
              <c:layout>
                <c:manualLayout>
                  <c:x val="0.10138888888888879"/>
                  <c:y val="9.7222222222222224E-2"/>
                </c:manualLayout>
              </c:layout>
              <c:dLblPos val="bestFit"/>
              <c:showLegendKey val="0"/>
              <c:showVal val="1"/>
              <c:showCatName val="1"/>
              <c:showSerName val="0"/>
              <c:showPercent val="0"/>
              <c:showBubbleSize val="0"/>
              <c:separator>
</c:separator>
              <c:extLst>
                <c:ext xmlns:c15="http://schemas.microsoft.com/office/drawing/2012/chart" uri="{CE6537A1-D6FC-4f65-9D91-7224C49458BB}">
                  <c15:layout>
                    <c:manualLayout>
                      <c:w val="0.12269444444444444"/>
                      <c:h val="0.20041666666666666"/>
                    </c:manualLayout>
                  </c15:layout>
                </c:ext>
                <c:ext xmlns:c16="http://schemas.microsoft.com/office/drawing/2014/chart" uri="{C3380CC4-5D6E-409C-BE32-E72D297353CC}">
                  <c16:uniqueId val="{00000003-B4EE-4613-9EBE-66BCDFBD97C3}"/>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0"/>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chart!$U$5:$U$9</c:f>
              <c:strCache>
                <c:ptCount val="4"/>
                <c:pt idx="0">
                  <c:v>A</c:v>
                </c:pt>
                <c:pt idx="1">
                  <c:v>C</c:v>
                </c:pt>
                <c:pt idx="2">
                  <c:v>D</c:v>
                </c:pt>
                <c:pt idx="3">
                  <c:v>F</c:v>
                </c:pt>
              </c:strCache>
            </c:strRef>
          </c:cat>
          <c:val>
            <c:numRef>
              <c:f>chart!$V$5:$V$9</c:f>
              <c:numCache>
                <c:formatCode>General</c:formatCode>
                <c:ptCount val="4"/>
                <c:pt idx="0">
                  <c:v>1</c:v>
                </c:pt>
                <c:pt idx="1">
                  <c:v>18</c:v>
                </c:pt>
                <c:pt idx="2">
                  <c:v>40</c:v>
                </c:pt>
                <c:pt idx="3">
                  <c:v>41</c:v>
                </c:pt>
              </c:numCache>
            </c:numRef>
          </c:val>
          <c:extLst>
            <c:ext xmlns:c16="http://schemas.microsoft.com/office/drawing/2014/chart" uri="{C3380CC4-5D6E-409C-BE32-E72D297353CC}">
              <c16:uniqueId val="{00000000-B4EE-4613-9EBE-66BCDFBD97C3}"/>
            </c:ext>
          </c:extLst>
        </c:ser>
        <c:dLbls>
          <c:dLblPos val="outEnd"/>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alpha val="97000"/>
        </a:schemeClr>
      </a:solidFill>
      <a:round/>
    </a:ln>
    <a:effectLst>
      <a:outerShdw blurRad="50800" dist="50800" dir="3660000" algn="ctr" rotWithShape="0">
        <a:schemeClr val="tx1">
          <a:alpha val="43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[University_ranking_dashboard.xlsx]chart!PivotTable4</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State</a:t>
            </a:r>
            <a:r>
              <a:rPr lang="en-US" b="1" baseline="0"/>
              <a:t> wise average score</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rgbClr val="E94365"/>
            </a:solidFill>
            <a:round/>
          </a:ln>
          <a:effectLst>
            <a:outerShdw blurRad="50800" dist="50800" dir="5400000" algn="ctr" rotWithShape="0">
              <a:srgbClr val="E94365"/>
            </a:outerShdw>
          </a:effectLst>
        </c:spPr>
        <c:marker>
          <c:symbol val="circle"/>
          <c:size val="5"/>
          <c:spPr>
            <a:solidFill>
              <a:srgbClr val="C00000"/>
            </a:solidFill>
            <a:ln w="9525">
              <a:solidFill>
                <a:schemeClr val="tx1"/>
              </a:solidFill>
            </a:ln>
            <a:effectLst>
              <a:outerShdw blurRad="50800" dist="50800" dir="5400000" algn="ctr" rotWithShape="0">
                <a:srgbClr val="E94365"/>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chart!$AF$4</c:f>
              <c:strCache>
                <c:ptCount val="1"/>
                <c:pt idx="0">
                  <c:v>Total</c:v>
                </c:pt>
              </c:strCache>
            </c:strRef>
          </c:tx>
          <c:spPr>
            <a:ln w="28575" cap="rnd">
              <a:solidFill>
                <a:srgbClr val="E94365"/>
              </a:solidFill>
              <a:round/>
            </a:ln>
            <a:effectLst>
              <a:outerShdw blurRad="50800" dist="50800" dir="5400000" algn="ctr" rotWithShape="0">
                <a:srgbClr val="E94365"/>
              </a:outerShdw>
            </a:effectLst>
          </c:spPr>
          <c:marker>
            <c:symbol val="circle"/>
            <c:size val="5"/>
            <c:spPr>
              <a:solidFill>
                <a:srgbClr val="C00000"/>
              </a:solidFill>
              <a:ln w="9525">
                <a:solidFill>
                  <a:schemeClr val="tx1"/>
                </a:solidFill>
              </a:ln>
              <a:effectLst>
                <a:outerShdw blurRad="50800" dist="50800" dir="5400000" algn="ctr" rotWithShape="0">
                  <a:srgbClr val="E94365"/>
                </a:outerShdw>
              </a:effectLst>
            </c:spPr>
          </c:marker>
          <c:cat>
            <c:strRef>
              <c:f>chart!$AE$5:$AE$27</c:f>
              <c:strCache>
                <c:ptCount val="22"/>
                <c:pt idx="0">
                  <c:v>Andhra Pradesh</c:v>
                </c:pt>
                <c:pt idx="1">
                  <c:v>Assam</c:v>
                </c:pt>
                <c:pt idx="2">
                  <c:v>Chandigarh</c:v>
                </c:pt>
                <c:pt idx="3">
                  <c:v>Delhi</c:v>
                </c:pt>
                <c:pt idx="4">
                  <c:v>Gujarat</c:v>
                </c:pt>
                <c:pt idx="5">
                  <c:v>Haryana</c:v>
                </c:pt>
                <c:pt idx="6">
                  <c:v>Himachal Pradesh</c:v>
                </c:pt>
                <c:pt idx="7">
                  <c:v>Jammu and Kashmir</c:v>
                </c:pt>
                <c:pt idx="8">
                  <c:v>Jharkhand</c:v>
                </c:pt>
                <c:pt idx="9">
                  <c:v>Karnataka</c:v>
                </c:pt>
                <c:pt idx="10">
                  <c:v>Kerala</c:v>
                </c:pt>
                <c:pt idx="11">
                  <c:v>Maharashtra</c:v>
                </c:pt>
                <c:pt idx="12">
                  <c:v>Mizoram</c:v>
                </c:pt>
                <c:pt idx="13">
                  <c:v>Odisha</c:v>
                </c:pt>
                <c:pt idx="14">
                  <c:v>Pondicherry</c:v>
                </c:pt>
                <c:pt idx="15">
                  <c:v>Punjab</c:v>
                </c:pt>
                <c:pt idx="16">
                  <c:v>Rajasthan</c:v>
                </c:pt>
                <c:pt idx="17">
                  <c:v>Tamil Nadu</c:v>
                </c:pt>
                <c:pt idx="18">
                  <c:v>Telangana</c:v>
                </c:pt>
                <c:pt idx="19">
                  <c:v>Uttar Pradesh</c:v>
                </c:pt>
                <c:pt idx="20">
                  <c:v>Uttarakhand</c:v>
                </c:pt>
                <c:pt idx="21">
                  <c:v>West Bengal</c:v>
                </c:pt>
              </c:strCache>
            </c:strRef>
          </c:cat>
          <c:val>
            <c:numRef>
              <c:f>chart!$AF$5:$AF$27</c:f>
              <c:numCache>
                <c:formatCode>General</c:formatCode>
                <c:ptCount val="22"/>
                <c:pt idx="0">
                  <c:v>53.886099999999999</c:v>
                </c:pt>
                <c:pt idx="1">
                  <c:v>53.886099999999999</c:v>
                </c:pt>
                <c:pt idx="2">
                  <c:v>53.886099999999999</c:v>
                </c:pt>
                <c:pt idx="3">
                  <c:v>53.886099999999999</c:v>
                </c:pt>
                <c:pt idx="4">
                  <c:v>53.886099999999999</c:v>
                </c:pt>
                <c:pt idx="5">
                  <c:v>53.886099999999999</c:v>
                </c:pt>
                <c:pt idx="6">
                  <c:v>53.886099999999999</c:v>
                </c:pt>
                <c:pt idx="7">
                  <c:v>53.886099999999999</c:v>
                </c:pt>
                <c:pt idx="8">
                  <c:v>53.886099999999999</c:v>
                </c:pt>
                <c:pt idx="9">
                  <c:v>53.886099999999999</c:v>
                </c:pt>
                <c:pt idx="10">
                  <c:v>53.886099999999999</c:v>
                </c:pt>
                <c:pt idx="11">
                  <c:v>53.886099999999999</c:v>
                </c:pt>
                <c:pt idx="12">
                  <c:v>53.886099999999999</c:v>
                </c:pt>
                <c:pt idx="13">
                  <c:v>53.886099999999999</c:v>
                </c:pt>
                <c:pt idx="14">
                  <c:v>53.886099999999999</c:v>
                </c:pt>
                <c:pt idx="15">
                  <c:v>53.886099999999999</c:v>
                </c:pt>
                <c:pt idx="16">
                  <c:v>53.886099999999999</c:v>
                </c:pt>
                <c:pt idx="17">
                  <c:v>53.886099999999999</c:v>
                </c:pt>
                <c:pt idx="18">
                  <c:v>53.886099999999999</c:v>
                </c:pt>
                <c:pt idx="19">
                  <c:v>53.886099999999999</c:v>
                </c:pt>
                <c:pt idx="20">
                  <c:v>53.886099999999999</c:v>
                </c:pt>
                <c:pt idx="21">
                  <c:v>53.886099999999999</c:v>
                </c:pt>
              </c:numCache>
            </c:numRef>
          </c:val>
          <c:smooth val="0"/>
          <c:extLst>
            <c:ext xmlns:c16="http://schemas.microsoft.com/office/drawing/2014/chart" uri="{C3380CC4-5D6E-409C-BE32-E72D297353CC}">
              <c16:uniqueId val="{00000000-89A7-4424-85EB-EA4DC61F8371}"/>
            </c:ext>
          </c:extLst>
        </c:ser>
        <c:dLbls>
          <c:showLegendKey val="0"/>
          <c:showVal val="0"/>
          <c:showCatName val="0"/>
          <c:showSerName val="0"/>
          <c:showPercent val="0"/>
          <c:showBubbleSize val="0"/>
        </c:dLbls>
        <c:marker val="1"/>
        <c:smooth val="0"/>
        <c:axId val="1478094831"/>
        <c:axId val="1478086191"/>
      </c:lineChart>
      <c:catAx>
        <c:axId val="14780948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478086191"/>
        <c:crosses val="autoZero"/>
        <c:auto val="1"/>
        <c:lblAlgn val="ctr"/>
        <c:lblOffset val="100"/>
        <c:noMultiLvlLbl val="0"/>
      </c:catAx>
      <c:valAx>
        <c:axId val="1478086191"/>
        <c:scaling>
          <c:orientation val="minMax"/>
        </c:scaling>
        <c:delete val="1"/>
        <c:axPos val="l"/>
        <c:numFmt formatCode="General" sourceLinked="1"/>
        <c:majorTickMark val="none"/>
        <c:minorTickMark val="none"/>
        <c:tickLblPos val="nextTo"/>
        <c:crossAx val="1478094831"/>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alpha val="97000"/>
        </a:schemeClr>
      </a:solidFill>
      <a:round/>
    </a:ln>
    <a:effectLst>
      <a:outerShdw blurRad="50800" dist="50800" dir="3660000" algn="ctr" rotWithShape="0">
        <a:srgbClr val="000000">
          <a:alpha val="43137"/>
        </a:srgbClr>
      </a:outerShdw>
      <a:softEdge rad="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[University_ranking_dashboard.xlsx]chart!PivotTable1</c:name>
    <c:fmtId val="9"/>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State wise average score</a:t>
            </a:r>
          </a:p>
        </c:rich>
      </c:tx>
      <c:overlay val="0"/>
      <c:spPr>
        <a:noFill/>
        <a:ln>
          <a:noFill/>
        </a:ln>
        <a:effectLst/>
      </c:spPr>
    </c:title>
    <c:autoTitleDeleted val="0"/>
    <c:pivotFmts>
      <c:pivotFmt>
        <c:idx val="0"/>
        <c:spPr>
          <a:solidFill>
            <a:schemeClr val="accent1"/>
          </a:solidFill>
          <a:ln w="28575" cap="rnd">
            <a:solidFill>
              <a:srgbClr val="E94365"/>
            </a:solidFill>
            <a:round/>
          </a:ln>
          <a:effectLst>
            <a:outerShdw blurRad="50800" dist="50800" dir="5400000" algn="ctr" rotWithShape="0">
              <a:srgbClr val="E94365"/>
            </a:outerShdw>
          </a:effectLst>
        </c:spPr>
        <c:marker>
          <c:symbol val="circle"/>
          <c:size val="5"/>
          <c:spPr>
            <a:solidFill>
              <a:srgbClr val="C00000"/>
            </a:solidFill>
            <a:ln w="9525">
              <a:solidFill>
                <a:schemeClr val="tx1"/>
              </a:solidFill>
            </a:ln>
            <a:effectLst>
              <a:outerShdw blurRad="50800" dist="50800" dir="5400000" algn="ctr" rotWithShape="0">
                <a:srgbClr val="E94365"/>
              </a:outerShdw>
            </a:effectLst>
          </c:spPr>
        </c:marker>
        <c:dLbl>
          <c:idx val="0"/>
          <c:delete val="1"/>
          <c:extLst>
            <c:ext xmlns:c15="http://schemas.microsoft.com/office/drawing/2012/chart" uri="{CE6537A1-D6FC-4f65-9D91-7224C49458BB}"/>
          </c:extLst>
        </c:dLbl>
      </c:pivotFmt>
      <c:pivotFmt>
        <c:idx val="1"/>
        <c:spPr>
          <a:solidFill>
            <a:schemeClr val="accent1"/>
          </a:solidFill>
          <a:ln w="28575" cap="rnd">
            <a:solidFill>
              <a:srgbClr val="E94365"/>
            </a:solidFill>
            <a:round/>
          </a:ln>
          <a:effectLst>
            <a:outerShdw blurRad="50800" dist="50800" dir="5400000" algn="ctr" rotWithShape="0">
              <a:srgbClr val="E94365"/>
            </a:outerShdw>
          </a:effectLst>
        </c:spPr>
        <c:marker>
          <c:symbol val="circle"/>
          <c:size val="5"/>
          <c:spPr>
            <a:solidFill>
              <a:srgbClr val="C00000"/>
            </a:solidFill>
            <a:ln w="9525">
              <a:solidFill>
                <a:schemeClr val="tx1"/>
              </a:solidFill>
            </a:ln>
            <a:effectLst>
              <a:outerShdw blurRad="50800" dist="50800" dir="5400000" algn="ctr" rotWithShape="0">
                <a:srgbClr val="E94365"/>
              </a:outerShdw>
            </a:effectLst>
          </c:spPr>
        </c:marker>
        <c:dLbl>
          <c:idx val="0"/>
          <c:delete val="1"/>
          <c:extLst>
            <c:ext xmlns:c15="http://schemas.microsoft.com/office/drawing/2012/chart" uri="{CE6537A1-D6FC-4f65-9D91-7224C49458BB}"/>
          </c:extLst>
        </c:dLbl>
      </c:pivotFmt>
      <c:pivotFmt>
        <c:idx val="2"/>
        <c:spPr>
          <a:ln w="28575" cap="rnd">
            <a:solidFill>
              <a:srgbClr val="E94365"/>
            </a:solidFill>
            <a:round/>
          </a:ln>
          <a:effectLst>
            <a:outerShdw blurRad="50800" dist="50800" dir="5400000" algn="ctr" rotWithShape="0">
              <a:srgbClr val="E94365"/>
            </a:outerShdw>
          </a:effectLst>
        </c:spPr>
        <c:marker>
          <c:symbol val="circle"/>
          <c:size val="5"/>
          <c:spPr>
            <a:solidFill>
              <a:srgbClr val="C00000"/>
            </a:solidFill>
            <a:ln w="9525">
              <a:solidFill>
                <a:schemeClr val="tx1"/>
              </a:solidFill>
            </a:ln>
            <a:effectLst>
              <a:outerShdw blurRad="50800" dist="50800" dir="5400000" algn="ctr" rotWithShape="0">
                <a:srgbClr val="E94365"/>
              </a:outerShdw>
            </a:effectLst>
          </c:spPr>
        </c:marker>
        <c:dLbl>
          <c:idx val="0"/>
          <c:delete val="1"/>
          <c:extLst>
            <c:ext xmlns:c15="http://schemas.microsoft.com/office/drawing/2012/chart" uri="{CE6537A1-D6FC-4f65-9D91-7224C49458BB}"/>
          </c:extLst>
        </c:dLbl>
      </c:pivotFmt>
      <c:pivotFmt>
        <c:idx val="3"/>
        <c:spPr>
          <a:ln w="28575" cap="rnd">
            <a:solidFill>
              <a:srgbClr val="E94365"/>
            </a:solidFill>
            <a:round/>
          </a:ln>
          <a:effectLst>
            <a:outerShdw blurRad="50800" dist="50800" dir="5400000" algn="ctr" rotWithShape="0">
              <a:srgbClr val="E94365"/>
            </a:outerShdw>
          </a:effectLst>
        </c:spPr>
        <c:marker>
          <c:symbol val="circle"/>
          <c:size val="5"/>
          <c:spPr>
            <a:solidFill>
              <a:srgbClr val="C00000"/>
            </a:solidFill>
            <a:ln w="9525">
              <a:solidFill>
                <a:schemeClr val="tx1"/>
              </a:solidFill>
            </a:ln>
            <a:effectLst>
              <a:outerShdw blurRad="50800" dist="50800" dir="5400000" algn="ctr" rotWithShape="0">
                <a:srgbClr val="E94365"/>
              </a:outerShdw>
            </a:effectLst>
          </c:spPr>
        </c:marker>
        <c:dLbl>
          <c:idx val="0"/>
          <c:delete val="1"/>
          <c:extLst>
            <c:ext xmlns:c15="http://schemas.microsoft.com/office/drawing/2012/chart" uri="{CE6537A1-D6FC-4f65-9D91-7224C49458BB}"/>
          </c:extLst>
        </c:dLbl>
      </c:pivotFmt>
    </c:pivotFmts>
    <c:plotArea>
      <c:layout>
        <c:manualLayout>
          <c:layoutTarget val="inner"/>
          <c:xMode val="edge"/>
          <c:yMode val="edge"/>
          <c:x val="4.7159947434947169E-2"/>
          <c:y val="0.25703395703395704"/>
          <c:w val="0.92782868376105099"/>
          <c:h val="0.29539127255662689"/>
        </c:manualLayout>
      </c:layout>
      <c:lineChart>
        <c:grouping val="stacked"/>
        <c:varyColors val="0"/>
        <c:ser>
          <c:idx val="0"/>
          <c:order val="0"/>
          <c:tx>
            <c:strRef>
              <c:f>chart!$C$3</c:f>
              <c:strCache>
                <c:ptCount val="1"/>
                <c:pt idx="0">
                  <c:v>Total</c:v>
                </c:pt>
              </c:strCache>
            </c:strRef>
          </c:tx>
          <c:spPr>
            <a:ln w="28575" cap="rnd">
              <a:solidFill>
                <a:srgbClr val="E94365"/>
              </a:solidFill>
              <a:round/>
            </a:ln>
            <a:effectLst>
              <a:outerShdw blurRad="50800" dist="50800" dir="5400000" algn="ctr" rotWithShape="0">
                <a:srgbClr val="E94365"/>
              </a:outerShdw>
            </a:effectLst>
          </c:spPr>
          <c:marker>
            <c:symbol val="circle"/>
            <c:size val="5"/>
            <c:spPr>
              <a:solidFill>
                <a:srgbClr val="C00000"/>
              </a:solidFill>
              <a:ln w="9525">
                <a:solidFill>
                  <a:schemeClr val="tx1"/>
                </a:solidFill>
              </a:ln>
              <a:effectLst>
                <a:outerShdw blurRad="50800" dist="50800" dir="5400000" algn="ctr" rotWithShape="0">
                  <a:srgbClr val="E94365"/>
                </a:outerShdw>
              </a:effectLst>
            </c:spPr>
          </c:marker>
          <c:cat>
            <c:strRef>
              <c:f>chart!$B$4:$B$26</c:f>
              <c:strCache>
                <c:ptCount val="22"/>
                <c:pt idx="0">
                  <c:v>Andhra Pradesh</c:v>
                </c:pt>
                <c:pt idx="1">
                  <c:v>Assam</c:v>
                </c:pt>
                <c:pt idx="2">
                  <c:v>Chandigarh</c:v>
                </c:pt>
                <c:pt idx="3">
                  <c:v>Delhi</c:v>
                </c:pt>
                <c:pt idx="4">
                  <c:v>Gujarat</c:v>
                </c:pt>
                <c:pt idx="5">
                  <c:v>Haryana</c:v>
                </c:pt>
                <c:pt idx="6">
                  <c:v>Himachal Pradesh</c:v>
                </c:pt>
                <c:pt idx="7">
                  <c:v>Jammu and Kashmir</c:v>
                </c:pt>
                <c:pt idx="8">
                  <c:v>Jharkhand</c:v>
                </c:pt>
                <c:pt idx="9">
                  <c:v>Karnataka</c:v>
                </c:pt>
                <c:pt idx="10">
                  <c:v>Kerala</c:v>
                </c:pt>
                <c:pt idx="11">
                  <c:v>Maharashtra</c:v>
                </c:pt>
                <c:pt idx="12">
                  <c:v>Mizoram</c:v>
                </c:pt>
                <c:pt idx="13">
                  <c:v>Odisha</c:v>
                </c:pt>
                <c:pt idx="14">
                  <c:v>Pondicherry</c:v>
                </c:pt>
                <c:pt idx="15">
                  <c:v>Punjab</c:v>
                </c:pt>
                <c:pt idx="16">
                  <c:v>Rajasthan</c:v>
                </c:pt>
                <c:pt idx="17">
                  <c:v>Tamil Nadu</c:v>
                </c:pt>
                <c:pt idx="18">
                  <c:v>Telangana</c:v>
                </c:pt>
                <c:pt idx="19">
                  <c:v>Uttar Pradesh</c:v>
                </c:pt>
                <c:pt idx="20">
                  <c:v>Uttarakhand</c:v>
                </c:pt>
                <c:pt idx="21">
                  <c:v>West Bengal</c:v>
                </c:pt>
              </c:strCache>
            </c:strRef>
          </c:cat>
          <c:val>
            <c:numRef>
              <c:f>chart!$C$4:$C$26</c:f>
              <c:numCache>
                <c:formatCode>0.00</c:formatCode>
                <c:ptCount val="22"/>
                <c:pt idx="0">
                  <c:v>53.886099999999999</c:v>
                </c:pt>
                <c:pt idx="1">
                  <c:v>53.886099999999999</c:v>
                </c:pt>
                <c:pt idx="2">
                  <c:v>53.886099999999999</c:v>
                </c:pt>
                <c:pt idx="3">
                  <c:v>53.886099999999999</c:v>
                </c:pt>
                <c:pt idx="4">
                  <c:v>53.886099999999999</c:v>
                </c:pt>
                <c:pt idx="5">
                  <c:v>53.886099999999999</c:v>
                </c:pt>
                <c:pt idx="6">
                  <c:v>53.886099999999999</c:v>
                </c:pt>
                <c:pt idx="7">
                  <c:v>53.886099999999999</c:v>
                </c:pt>
                <c:pt idx="8">
                  <c:v>53.886099999999999</c:v>
                </c:pt>
                <c:pt idx="9">
                  <c:v>53.886099999999999</c:v>
                </c:pt>
                <c:pt idx="10">
                  <c:v>53.886099999999999</c:v>
                </c:pt>
                <c:pt idx="11">
                  <c:v>53.886099999999999</c:v>
                </c:pt>
                <c:pt idx="12">
                  <c:v>53.886099999999999</c:v>
                </c:pt>
                <c:pt idx="13">
                  <c:v>53.886099999999999</c:v>
                </c:pt>
                <c:pt idx="14">
                  <c:v>53.886099999999999</c:v>
                </c:pt>
                <c:pt idx="15">
                  <c:v>53.886099999999999</c:v>
                </c:pt>
                <c:pt idx="16">
                  <c:v>53.886099999999999</c:v>
                </c:pt>
                <c:pt idx="17">
                  <c:v>53.886099999999999</c:v>
                </c:pt>
                <c:pt idx="18">
                  <c:v>53.886099999999999</c:v>
                </c:pt>
                <c:pt idx="19">
                  <c:v>53.886099999999999</c:v>
                </c:pt>
                <c:pt idx="20">
                  <c:v>53.886099999999999</c:v>
                </c:pt>
                <c:pt idx="21">
                  <c:v>53.886099999999999</c:v>
                </c:pt>
              </c:numCache>
            </c:numRef>
          </c:val>
          <c:smooth val="0"/>
          <c:extLst>
            <c:ext xmlns:c16="http://schemas.microsoft.com/office/drawing/2014/chart" uri="{C3380CC4-5D6E-409C-BE32-E72D297353CC}">
              <c16:uniqueId val="{00000003-8A41-4F5B-BD46-02BA0B25E4E5}"/>
            </c:ext>
          </c:extLst>
        </c:ser>
        <c:dLbls>
          <c:showLegendKey val="0"/>
          <c:showVal val="0"/>
          <c:showCatName val="0"/>
          <c:showSerName val="0"/>
          <c:showPercent val="0"/>
          <c:showBubbleSize val="0"/>
        </c:dLbls>
        <c:marker val="1"/>
        <c:smooth val="0"/>
        <c:axId val="1478094831"/>
        <c:axId val="1478086191"/>
      </c:lineChart>
      <c:catAx>
        <c:axId val="14780948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chemeClr val="tx1">
                    <a:lumMod val="65000"/>
                    <a:lumOff val="35000"/>
                  </a:schemeClr>
                </a:solidFill>
                <a:latin typeface="+mn-lt"/>
                <a:ea typeface="+mn-ea"/>
                <a:cs typeface="+mn-cs"/>
              </a:defRPr>
            </a:pPr>
            <a:endParaRPr lang="en-US"/>
          </a:p>
        </c:txPr>
        <c:crossAx val="1478086191"/>
        <c:crosses val="autoZero"/>
        <c:auto val="1"/>
        <c:lblAlgn val="ctr"/>
        <c:lblOffset val="100"/>
        <c:noMultiLvlLbl val="0"/>
      </c:catAx>
      <c:valAx>
        <c:axId val="1478086191"/>
        <c:scaling>
          <c:orientation val="minMax"/>
        </c:scaling>
        <c:delete val="1"/>
        <c:axPos val="l"/>
        <c:numFmt formatCode="0.00" sourceLinked="1"/>
        <c:majorTickMark val="none"/>
        <c:minorTickMark val="none"/>
        <c:tickLblPos val="nextTo"/>
        <c:crossAx val="1478094831"/>
        <c:crosses val="autoZero"/>
        <c:crossBetween val="between"/>
      </c:valAx>
      <c:spPr>
        <a:noFill/>
      </c:spPr>
    </c:plotArea>
    <c:plotVisOnly val="1"/>
    <c:dispBlanksAs val="zero"/>
    <c:showDLblsOverMax val="0"/>
    <c:extLst/>
  </c:chart>
  <c:spPr>
    <a:noFill/>
    <a:ln w="9525" cap="flat" cmpd="sng" algn="ctr">
      <a:solidFill>
        <a:schemeClr val="tx1">
          <a:alpha val="97000"/>
        </a:schemeClr>
      </a:solidFill>
      <a:round/>
    </a:ln>
    <a:effectLst>
      <a:outerShdw blurRad="50800" dist="50800" dir="3660000" algn="ctr" rotWithShape="0">
        <a:srgbClr val="000000">
          <a:alpha val="43137"/>
        </a:srgbClr>
      </a:outerShdw>
      <a:softEdge rad="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[University_ranking_dashboard.xlsx]chart!PivotTable2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State</a:t>
            </a:r>
            <a:r>
              <a:rPr lang="en-IN" b="1" baseline="0"/>
              <a:t> wise no of institutions</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rgbClr val="E94365"/>
            </a:solidFill>
            <a:round/>
          </a:ln>
          <a:effectLst/>
        </c:spPr>
        <c:marker>
          <c:symbol val="circle"/>
          <c:size val="5"/>
          <c:spPr>
            <a:solidFill>
              <a:srgbClr val="E94365"/>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E94365"/>
            </a:solidFill>
            <a:round/>
          </a:ln>
          <a:effectLst/>
        </c:spPr>
        <c:marker>
          <c:symbol val="circle"/>
          <c:size val="5"/>
          <c:spPr>
            <a:solidFill>
              <a:srgbClr val="E94365"/>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rgbClr val="E94365"/>
            </a:solidFill>
            <a:round/>
          </a:ln>
          <a:effectLst/>
        </c:spPr>
        <c:marker>
          <c:symbol val="circle"/>
          <c:size val="5"/>
          <c:spPr>
            <a:solidFill>
              <a:srgbClr val="E94365"/>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chart!$M$3</c:f>
              <c:strCache>
                <c:ptCount val="1"/>
                <c:pt idx="0">
                  <c:v>Total</c:v>
                </c:pt>
              </c:strCache>
            </c:strRef>
          </c:tx>
          <c:spPr>
            <a:ln w="28575" cap="rnd">
              <a:solidFill>
                <a:srgbClr val="E94365"/>
              </a:solidFill>
              <a:round/>
            </a:ln>
            <a:effectLst/>
          </c:spPr>
          <c:marker>
            <c:symbol val="circle"/>
            <c:size val="5"/>
            <c:spPr>
              <a:solidFill>
                <a:srgbClr val="E94365"/>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chart!$L$4:$L$26</c:f>
              <c:strCache>
                <c:ptCount val="22"/>
                <c:pt idx="0">
                  <c:v>Andhra Pradesh</c:v>
                </c:pt>
                <c:pt idx="1">
                  <c:v>Assam</c:v>
                </c:pt>
                <c:pt idx="2">
                  <c:v>Chandigarh</c:v>
                </c:pt>
                <c:pt idx="3">
                  <c:v>Delhi</c:v>
                </c:pt>
                <c:pt idx="4">
                  <c:v>Gujarat</c:v>
                </c:pt>
                <c:pt idx="5">
                  <c:v>Haryana</c:v>
                </c:pt>
                <c:pt idx="6">
                  <c:v>Himachal Pradesh</c:v>
                </c:pt>
                <c:pt idx="7">
                  <c:v>Jammu and Kashmir</c:v>
                </c:pt>
                <c:pt idx="8">
                  <c:v>Jharkhand</c:v>
                </c:pt>
                <c:pt idx="9">
                  <c:v>Karnataka</c:v>
                </c:pt>
                <c:pt idx="10">
                  <c:v>Kerala</c:v>
                </c:pt>
                <c:pt idx="11">
                  <c:v>Maharashtra</c:v>
                </c:pt>
                <c:pt idx="12">
                  <c:v>Mizoram</c:v>
                </c:pt>
                <c:pt idx="13">
                  <c:v>Odisha</c:v>
                </c:pt>
                <c:pt idx="14">
                  <c:v>Pondicherry</c:v>
                </c:pt>
                <c:pt idx="15">
                  <c:v>Punjab</c:v>
                </c:pt>
                <c:pt idx="16">
                  <c:v>Rajasthan</c:v>
                </c:pt>
                <c:pt idx="17">
                  <c:v>Tamil Nadu</c:v>
                </c:pt>
                <c:pt idx="18">
                  <c:v>Telangana</c:v>
                </c:pt>
                <c:pt idx="19">
                  <c:v>Uttar Pradesh</c:v>
                </c:pt>
                <c:pt idx="20">
                  <c:v>Uttarakhand</c:v>
                </c:pt>
                <c:pt idx="21">
                  <c:v>West Bengal</c:v>
                </c:pt>
              </c:strCache>
            </c:strRef>
          </c:cat>
          <c:val>
            <c:numRef>
              <c:f>chart!$M$4:$M$26</c:f>
              <c:numCache>
                <c:formatCode>General</c:formatCode>
                <c:ptCount val="22"/>
                <c:pt idx="0">
                  <c:v>5</c:v>
                </c:pt>
                <c:pt idx="1">
                  <c:v>2</c:v>
                </c:pt>
                <c:pt idx="2">
                  <c:v>1</c:v>
                </c:pt>
                <c:pt idx="3">
                  <c:v>7</c:v>
                </c:pt>
                <c:pt idx="4">
                  <c:v>1</c:v>
                </c:pt>
                <c:pt idx="5">
                  <c:v>2</c:v>
                </c:pt>
                <c:pt idx="6">
                  <c:v>1</c:v>
                </c:pt>
                <c:pt idx="7">
                  <c:v>2</c:v>
                </c:pt>
                <c:pt idx="8">
                  <c:v>1</c:v>
                </c:pt>
                <c:pt idx="9">
                  <c:v>11</c:v>
                </c:pt>
                <c:pt idx="10">
                  <c:v>4</c:v>
                </c:pt>
                <c:pt idx="11">
                  <c:v>10</c:v>
                </c:pt>
                <c:pt idx="12">
                  <c:v>1</c:v>
                </c:pt>
                <c:pt idx="13">
                  <c:v>2</c:v>
                </c:pt>
                <c:pt idx="14">
                  <c:v>1</c:v>
                </c:pt>
                <c:pt idx="15">
                  <c:v>7</c:v>
                </c:pt>
                <c:pt idx="16">
                  <c:v>3</c:v>
                </c:pt>
                <c:pt idx="17">
                  <c:v>22</c:v>
                </c:pt>
                <c:pt idx="18">
                  <c:v>3</c:v>
                </c:pt>
                <c:pt idx="19">
                  <c:v>9</c:v>
                </c:pt>
                <c:pt idx="20">
                  <c:v>3</c:v>
                </c:pt>
                <c:pt idx="21">
                  <c:v>2</c:v>
                </c:pt>
              </c:numCache>
            </c:numRef>
          </c:val>
          <c:smooth val="0"/>
          <c:extLst>
            <c:ext xmlns:c16="http://schemas.microsoft.com/office/drawing/2014/chart" uri="{C3380CC4-5D6E-409C-BE32-E72D297353CC}">
              <c16:uniqueId val="{00000000-6BA1-417D-B232-BB511B2AF81F}"/>
            </c:ext>
          </c:extLst>
        </c:ser>
        <c:dLbls>
          <c:dLblPos val="t"/>
          <c:showLegendKey val="0"/>
          <c:showVal val="1"/>
          <c:showCatName val="0"/>
          <c:showSerName val="0"/>
          <c:showPercent val="0"/>
          <c:showBubbleSize val="0"/>
        </c:dLbls>
        <c:marker val="1"/>
        <c:smooth val="0"/>
        <c:axId val="1478078031"/>
        <c:axId val="1478091951"/>
      </c:lineChart>
      <c:catAx>
        <c:axId val="14780780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478091951"/>
        <c:crosses val="autoZero"/>
        <c:auto val="1"/>
        <c:lblAlgn val="ctr"/>
        <c:lblOffset val="100"/>
        <c:noMultiLvlLbl val="0"/>
      </c:catAx>
      <c:valAx>
        <c:axId val="1478091951"/>
        <c:scaling>
          <c:orientation val="minMax"/>
        </c:scaling>
        <c:delete val="1"/>
        <c:axPos val="l"/>
        <c:numFmt formatCode="General" sourceLinked="1"/>
        <c:majorTickMark val="none"/>
        <c:minorTickMark val="none"/>
        <c:tickLblPos val="nextTo"/>
        <c:crossAx val="1478078031"/>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solidFill>
      <a:round/>
    </a:ln>
    <a:effectLst>
      <a:outerShdw blurRad="50800" dist="50800" dir="3660000" algn="ctr" rotWithShape="0">
        <a:srgbClr val="000000">
          <a:alpha val="43137"/>
        </a:srgb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6"/>
    </mc:Choice>
    <mc:Fallback>
      <c:style val="6"/>
    </mc:Fallback>
  </mc:AlternateContent>
  <c:pivotSource>
    <c:name>[University_ranking_dashboard.xlsx]chart!PivotTable5</c:name>
    <c:fmtId val="21"/>
  </c:pivotSource>
  <c:chart>
    <c:title>
      <c:tx>
        <c:rich>
          <a:bodyPr rot="0" spcFirstLastPara="1" vertOverflow="ellipsis" vert="horz" wrap="square" anchor="ctr" anchorCtr="1"/>
          <a:lstStyle/>
          <a:p>
            <a:pPr>
              <a:defRPr lang="en-US" sz="1400" b="1" i="0" u="none" strike="noStrike" kern="1200" spc="0" baseline="0">
                <a:solidFill>
                  <a:schemeClr val="tx1"/>
                </a:solidFill>
                <a:latin typeface="+mn-lt"/>
                <a:ea typeface="+mn-ea"/>
                <a:cs typeface="+mn-cs"/>
              </a:defRPr>
            </a:pPr>
            <a:r>
              <a:rPr lang="en-IN" sz="1400"/>
              <a:t>Top 5 rank wise  Institutes</a:t>
            </a:r>
          </a:p>
        </c:rich>
      </c:tx>
      <c:overlay val="0"/>
      <c:spPr>
        <a:noFill/>
        <a:ln>
          <a:noFill/>
        </a:ln>
        <a:effectLst/>
      </c:spPr>
      <c:txPr>
        <a:bodyPr rot="0" spcFirstLastPara="1" vertOverflow="ellipsis" vert="horz" wrap="square" anchor="ctr" anchorCtr="1"/>
        <a:lstStyle/>
        <a:p>
          <a:pPr>
            <a:defRPr lang="en-US" sz="1400" b="1" i="0" u="none" strike="noStrike" kern="1200" spc="0" baseline="0">
              <a:solidFill>
                <a:schemeClr val="tx1"/>
              </a:solidFill>
              <a:latin typeface="+mn-lt"/>
              <a:ea typeface="+mn-ea"/>
              <a:cs typeface="+mn-cs"/>
            </a:defRPr>
          </a:pPr>
          <a:endParaRPr lang="en-IN"/>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5"/>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6"/>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7"/>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8"/>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9"/>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5"/>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6"/>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7"/>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8"/>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9"/>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5"/>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6"/>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7"/>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8"/>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9"/>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5"/>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6"/>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7"/>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8"/>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9"/>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5"/>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6"/>
        <c:spPr>
          <a:solidFill>
            <a:srgbClr val="E94365"/>
          </a:solidFill>
          <a:ln>
            <a:solidFill>
              <a:schemeClr val="tx1"/>
            </a:solidFill>
          </a:ln>
          <a:effectLst/>
        </c:spPr>
        <c:marker>
          <c:symbol val="none"/>
        </c:marker>
        <c:dLbl>
          <c:idx val="0"/>
          <c:spPr>
            <a:noFill/>
            <a:ln>
              <a:noFill/>
            </a:ln>
            <a:effectLst/>
          </c:spPr>
          <c:txPr>
            <a:bodyPr rot="0" spcFirstLastPara="1" vertOverflow="ellipsis" vert="horz" wrap="square" anchor="ctr" anchorCtr="1"/>
            <a:lstStyle/>
            <a:p>
              <a:pPr>
                <a:defRPr lang="en-US" sz="10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7"/>
        <c:spPr>
          <a:solidFill>
            <a:srgbClr val="E94365"/>
          </a:solidFill>
          <a:ln>
            <a:solidFill>
              <a:schemeClr val="tx1"/>
            </a:solidFill>
          </a:ln>
          <a:effectLst/>
        </c:spPr>
        <c:marker>
          <c:symbol val="none"/>
        </c:marker>
        <c:dLbl>
          <c:idx val="0"/>
          <c:spPr>
            <a:noFill/>
            <a:ln>
              <a:noFill/>
            </a:ln>
            <a:effectLst/>
          </c:spPr>
          <c:txPr>
            <a:bodyPr rot="0" spcFirstLastPara="1" vertOverflow="ellipsis" vert="horz" wrap="square" anchor="ctr" anchorCtr="1"/>
            <a:lstStyle/>
            <a:p>
              <a:pPr>
                <a:defRPr lang="en-US" sz="10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8"/>
        <c:spPr>
          <a:solidFill>
            <a:srgbClr val="E94365"/>
          </a:solidFill>
          <a:ln>
            <a:solidFill>
              <a:schemeClr val="tx1"/>
            </a:solidFill>
          </a:ln>
          <a:effectLst/>
        </c:spPr>
        <c:marker>
          <c:symbol val="none"/>
        </c:marker>
        <c:dLbl>
          <c:idx val="0"/>
          <c:spPr>
            <a:noFill/>
            <a:ln>
              <a:noFill/>
            </a:ln>
            <a:effectLst/>
          </c:spPr>
          <c:txPr>
            <a:bodyPr rot="0" spcFirstLastPara="1" vertOverflow="ellipsis" vert="horz" wrap="square" anchor="ctr" anchorCtr="1"/>
            <a:lstStyle/>
            <a:p>
              <a:pPr>
                <a:defRPr lang="en-US" sz="10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9"/>
        <c:spPr>
          <a:solidFill>
            <a:srgbClr val="E94365"/>
          </a:solidFill>
          <a:ln>
            <a:solidFill>
              <a:schemeClr val="tx1"/>
            </a:solidFill>
          </a:ln>
          <a:effectLst/>
        </c:spPr>
        <c:marker>
          <c:symbol val="none"/>
        </c:marker>
        <c:dLbl>
          <c:idx val="0"/>
          <c:spPr>
            <a:noFill/>
            <a:ln>
              <a:noFill/>
            </a:ln>
            <a:effectLst/>
          </c:spPr>
          <c:txPr>
            <a:bodyPr rot="0" spcFirstLastPara="1" vertOverflow="ellipsis" vert="horz" wrap="square" anchor="ctr" anchorCtr="1"/>
            <a:lstStyle/>
            <a:p>
              <a:pPr>
                <a:defRPr lang="en-US" sz="10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0"/>
        <c:spPr>
          <a:solidFill>
            <a:srgbClr val="E94365"/>
          </a:solidFill>
          <a:ln>
            <a:solidFill>
              <a:schemeClr val="tx1"/>
            </a:solidFill>
          </a:ln>
          <a:effectLst/>
        </c:spPr>
        <c:marker>
          <c:symbol val="none"/>
        </c:marker>
        <c:dLbl>
          <c:idx val="0"/>
          <c:spPr>
            <a:noFill/>
            <a:ln>
              <a:noFill/>
            </a:ln>
            <a:effectLst/>
          </c:spPr>
          <c:txPr>
            <a:bodyPr rot="0" spcFirstLastPara="1" vertOverflow="ellipsis" vert="horz" wrap="square" anchor="ctr" anchorCtr="1"/>
            <a:lstStyle/>
            <a:p>
              <a:pPr>
                <a:defRPr lang="en-US" sz="10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1"/>
        <c:spPr>
          <a:solidFill>
            <a:srgbClr val="E94365"/>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2"/>
        <c:spPr>
          <a:solidFill>
            <a:srgbClr val="E94365"/>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3"/>
        <c:spPr>
          <a:solidFill>
            <a:srgbClr val="E94365"/>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4"/>
        <c:spPr>
          <a:solidFill>
            <a:srgbClr val="E94365"/>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5"/>
        <c:spPr>
          <a:solidFill>
            <a:srgbClr val="E94365"/>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6"/>
        <c:spPr>
          <a:solidFill>
            <a:srgbClr val="E94365"/>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7"/>
        <c:spPr>
          <a:solidFill>
            <a:srgbClr val="E94365"/>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8"/>
        <c:spPr>
          <a:solidFill>
            <a:srgbClr val="E94365"/>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9"/>
        <c:spPr>
          <a:solidFill>
            <a:srgbClr val="E94365"/>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0"/>
        <c:spPr>
          <a:solidFill>
            <a:srgbClr val="E94365"/>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chart!$AP$5:$AP$6</c:f>
              <c:strCache>
                <c:ptCount val="1"/>
                <c:pt idx="0">
                  <c:v>1</c:v>
                </c:pt>
              </c:strCache>
            </c:strRef>
          </c:tx>
          <c:spPr>
            <a:solidFill>
              <a:srgbClr val="E94365"/>
            </a:solidFill>
            <a:ln>
              <a:solidFill>
                <a:schemeClr val="tx1"/>
              </a:solidFill>
            </a:ln>
            <a:effectLst/>
          </c:spPr>
          <c:invertIfNegative val="0"/>
          <c:cat>
            <c:strRef>
              <c:f>chart!$AO$7:$AO$12</c:f>
              <c:strCache>
                <c:ptCount val="5"/>
                <c:pt idx="0">
                  <c:v>Banaras Hindu University</c:v>
                </c:pt>
                <c:pt idx="1">
                  <c:v>Indian Institute of Science</c:v>
                </c:pt>
                <c:pt idx="2">
                  <c:v>Jamia Millia Islamia</c:v>
                </c:pt>
                <c:pt idx="3">
                  <c:v>Jawaharlal Nehru University</c:v>
                </c:pt>
                <c:pt idx="4">
                  <c:v>Manipal Academy of Higher Education</c:v>
                </c:pt>
              </c:strCache>
            </c:strRef>
          </c:cat>
          <c:val>
            <c:numRef>
              <c:f>chart!$AP$7:$AP$12</c:f>
              <c:numCache>
                <c:formatCode>General</c:formatCode>
                <c:ptCount val="5"/>
                <c:pt idx="1">
                  <c:v>5388.61</c:v>
                </c:pt>
              </c:numCache>
            </c:numRef>
          </c:val>
          <c:extLst>
            <c:ext xmlns:c16="http://schemas.microsoft.com/office/drawing/2014/chart" uri="{C3380CC4-5D6E-409C-BE32-E72D297353CC}">
              <c16:uniqueId val="{00000000-17EF-47C8-A1BC-BB1A9CB9E160}"/>
            </c:ext>
          </c:extLst>
        </c:ser>
        <c:ser>
          <c:idx val="1"/>
          <c:order val="1"/>
          <c:tx>
            <c:strRef>
              <c:f>chart!$AQ$5:$AQ$6</c:f>
              <c:strCache>
                <c:ptCount val="1"/>
                <c:pt idx="0">
                  <c:v>2</c:v>
                </c:pt>
              </c:strCache>
            </c:strRef>
          </c:tx>
          <c:spPr>
            <a:solidFill>
              <a:srgbClr val="E94365"/>
            </a:solidFill>
            <a:ln>
              <a:solidFill>
                <a:schemeClr val="tx1"/>
              </a:solidFill>
            </a:ln>
            <a:effectLst/>
          </c:spPr>
          <c:invertIfNegative val="0"/>
          <c:cat>
            <c:strRef>
              <c:f>chart!$AO$7:$AO$12</c:f>
              <c:strCache>
                <c:ptCount val="5"/>
                <c:pt idx="0">
                  <c:v>Banaras Hindu University</c:v>
                </c:pt>
                <c:pt idx="1">
                  <c:v>Indian Institute of Science</c:v>
                </c:pt>
                <c:pt idx="2">
                  <c:v>Jamia Millia Islamia</c:v>
                </c:pt>
                <c:pt idx="3">
                  <c:v>Jawaharlal Nehru University</c:v>
                </c:pt>
                <c:pt idx="4">
                  <c:v>Manipal Academy of Higher Education</c:v>
                </c:pt>
              </c:strCache>
            </c:strRef>
          </c:cat>
          <c:val>
            <c:numRef>
              <c:f>chart!$AQ$7:$AQ$12</c:f>
              <c:numCache>
                <c:formatCode>General</c:formatCode>
                <c:ptCount val="5"/>
                <c:pt idx="3">
                  <c:v>5388.61</c:v>
                </c:pt>
              </c:numCache>
            </c:numRef>
          </c:val>
          <c:extLst>
            <c:ext xmlns:c16="http://schemas.microsoft.com/office/drawing/2014/chart" uri="{C3380CC4-5D6E-409C-BE32-E72D297353CC}">
              <c16:uniqueId val="{00000001-17EF-47C8-A1BC-BB1A9CB9E160}"/>
            </c:ext>
          </c:extLst>
        </c:ser>
        <c:ser>
          <c:idx val="2"/>
          <c:order val="2"/>
          <c:tx>
            <c:strRef>
              <c:f>chart!$AR$5:$AR$6</c:f>
              <c:strCache>
                <c:ptCount val="1"/>
                <c:pt idx="0">
                  <c:v>3</c:v>
                </c:pt>
              </c:strCache>
            </c:strRef>
          </c:tx>
          <c:spPr>
            <a:solidFill>
              <a:srgbClr val="E94365"/>
            </a:solidFill>
            <a:ln>
              <a:solidFill>
                <a:schemeClr val="tx1"/>
              </a:solidFill>
            </a:ln>
            <a:effectLst/>
          </c:spPr>
          <c:invertIfNegative val="0"/>
          <c:cat>
            <c:strRef>
              <c:f>chart!$AO$7:$AO$12</c:f>
              <c:strCache>
                <c:ptCount val="5"/>
                <c:pt idx="0">
                  <c:v>Banaras Hindu University</c:v>
                </c:pt>
                <c:pt idx="1">
                  <c:v>Indian Institute of Science</c:v>
                </c:pt>
                <c:pt idx="2">
                  <c:v>Jamia Millia Islamia</c:v>
                </c:pt>
                <c:pt idx="3">
                  <c:v>Jawaharlal Nehru University</c:v>
                </c:pt>
                <c:pt idx="4">
                  <c:v>Manipal Academy of Higher Education</c:v>
                </c:pt>
              </c:strCache>
            </c:strRef>
          </c:cat>
          <c:val>
            <c:numRef>
              <c:f>chart!$AR$7:$AR$12</c:f>
              <c:numCache>
                <c:formatCode>General</c:formatCode>
                <c:ptCount val="5"/>
                <c:pt idx="2">
                  <c:v>5388.61</c:v>
                </c:pt>
              </c:numCache>
            </c:numRef>
          </c:val>
          <c:extLst>
            <c:ext xmlns:c16="http://schemas.microsoft.com/office/drawing/2014/chart" uri="{C3380CC4-5D6E-409C-BE32-E72D297353CC}">
              <c16:uniqueId val="{00000002-17EF-47C8-A1BC-BB1A9CB9E160}"/>
            </c:ext>
          </c:extLst>
        </c:ser>
        <c:ser>
          <c:idx val="3"/>
          <c:order val="3"/>
          <c:tx>
            <c:strRef>
              <c:f>chart!$AS$5:$AS$6</c:f>
              <c:strCache>
                <c:ptCount val="1"/>
                <c:pt idx="0">
                  <c:v>4</c:v>
                </c:pt>
              </c:strCache>
            </c:strRef>
          </c:tx>
          <c:spPr>
            <a:solidFill>
              <a:srgbClr val="E94365"/>
            </a:solidFill>
            <a:ln>
              <a:solidFill>
                <a:schemeClr val="tx1"/>
              </a:solidFill>
            </a:ln>
            <a:effectLst/>
          </c:spPr>
          <c:invertIfNegative val="0"/>
          <c:cat>
            <c:strRef>
              <c:f>chart!$AO$7:$AO$12</c:f>
              <c:strCache>
                <c:ptCount val="5"/>
                <c:pt idx="0">
                  <c:v>Banaras Hindu University</c:v>
                </c:pt>
                <c:pt idx="1">
                  <c:v>Indian Institute of Science</c:v>
                </c:pt>
                <c:pt idx="2">
                  <c:v>Jamia Millia Islamia</c:v>
                </c:pt>
                <c:pt idx="3">
                  <c:v>Jawaharlal Nehru University</c:v>
                </c:pt>
                <c:pt idx="4">
                  <c:v>Manipal Academy of Higher Education</c:v>
                </c:pt>
              </c:strCache>
            </c:strRef>
          </c:cat>
          <c:val>
            <c:numRef>
              <c:f>chart!$AS$7:$AS$12</c:f>
              <c:numCache>
                <c:formatCode>General</c:formatCode>
                <c:ptCount val="5"/>
                <c:pt idx="4">
                  <c:v>5388.61</c:v>
                </c:pt>
              </c:numCache>
            </c:numRef>
          </c:val>
          <c:extLst>
            <c:ext xmlns:c16="http://schemas.microsoft.com/office/drawing/2014/chart" uri="{C3380CC4-5D6E-409C-BE32-E72D297353CC}">
              <c16:uniqueId val="{00000003-17EF-47C8-A1BC-BB1A9CB9E160}"/>
            </c:ext>
          </c:extLst>
        </c:ser>
        <c:ser>
          <c:idx val="4"/>
          <c:order val="4"/>
          <c:tx>
            <c:strRef>
              <c:f>chart!$AT$5:$AT$6</c:f>
              <c:strCache>
                <c:ptCount val="1"/>
                <c:pt idx="0">
                  <c:v>5</c:v>
                </c:pt>
              </c:strCache>
            </c:strRef>
          </c:tx>
          <c:spPr>
            <a:solidFill>
              <a:srgbClr val="E94365"/>
            </a:solidFill>
            <a:ln>
              <a:solidFill>
                <a:schemeClr val="tx1"/>
              </a:solidFill>
            </a:ln>
            <a:effectLst/>
          </c:spPr>
          <c:invertIfNegative val="0"/>
          <c:cat>
            <c:strRef>
              <c:f>chart!$AO$7:$AO$12</c:f>
              <c:strCache>
                <c:ptCount val="5"/>
                <c:pt idx="0">
                  <c:v>Banaras Hindu University</c:v>
                </c:pt>
                <c:pt idx="1">
                  <c:v>Indian Institute of Science</c:v>
                </c:pt>
                <c:pt idx="2">
                  <c:v>Jamia Millia Islamia</c:v>
                </c:pt>
                <c:pt idx="3">
                  <c:v>Jawaharlal Nehru University</c:v>
                </c:pt>
                <c:pt idx="4">
                  <c:v>Manipal Academy of Higher Education</c:v>
                </c:pt>
              </c:strCache>
            </c:strRef>
          </c:cat>
          <c:val>
            <c:numRef>
              <c:f>chart!$AT$7:$AT$12</c:f>
              <c:numCache>
                <c:formatCode>General</c:formatCode>
                <c:ptCount val="5"/>
                <c:pt idx="0">
                  <c:v>5388.61</c:v>
                </c:pt>
              </c:numCache>
            </c:numRef>
          </c:val>
          <c:extLst>
            <c:ext xmlns:c16="http://schemas.microsoft.com/office/drawing/2014/chart" uri="{C3380CC4-5D6E-409C-BE32-E72D297353CC}">
              <c16:uniqueId val="{00000004-17EF-47C8-A1BC-BB1A9CB9E160}"/>
            </c:ext>
          </c:extLst>
        </c:ser>
        <c:dLbls>
          <c:showLegendKey val="0"/>
          <c:showVal val="0"/>
          <c:showCatName val="0"/>
          <c:showSerName val="0"/>
          <c:showPercent val="0"/>
          <c:showBubbleSize val="0"/>
        </c:dLbls>
        <c:gapWidth val="182"/>
        <c:axId val="214593679"/>
        <c:axId val="214600399"/>
      </c:barChart>
      <c:catAx>
        <c:axId val="2145936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1" i="0" u="none" strike="noStrike" kern="1200" baseline="0">
                <a:solidFill>
                  <a:schemeClr val="tx1"/>
                </a:solidFill>
                <a:latin typeface="+mn-lt"/>
                <a:ea typeface="+mn-ea"/>
                <a:cs typeface="+mn-cs"/>
              </a:defRPr>
            </a:pPr>
            <a:endParaRPr lang="en-US"/>
          </a:p>
        </c:txPr>
        <c:crossAx val="214600399"/>
        <c:crosses val="autoZero"/>
        <c:auto val="1"/>
        <c:lblAlgn val="ctr"/>
        <c:lblOffset val="100"/>
        <c:noMultiLvlLbl val="0"/>
      </c:catAx>
      <c:valAx>
        <c:axId val="214600399"/>
        <c:scaling>
          <c:orientation val="minMax"/>
        </c:scaling>
        <c:delete val="1"/>
        <c:axPos val="b"/>
        <c:numFmt formatCode="General" sourceLinked="1"/>
        <c:majorTickMark val="none"/>
        <c:minorTickMark val="none"/>
        <c:tickLblPos val="nextTo"/>
        <c:crossAx val="2145936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solidFill>
      <a:round/>
    </a:ln>
    <a:effectLst>
      <a:outerShdw blurRad="50800" dist="50800" dir="3660000" algn="ctr" rotWithShape="0">
        <a:srgbClr val="000000">
          <a:alpha val="43137"/>
        </a:srgbClr>
      </a:outerShdw>
    </a:effectLst>
  </c:spPr>
  <c:txPr>
    <a:bodyPr/>
    <a:lstStyle/>
    <a:p>
      <a:pPr>
        <a:defRPr lang="en-US" sz="1000" b="1"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[University_ranking_dashboard.xlsx]chart!PivotTable3</c:name>
    <c:fmtId val="1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Grade</a:t>
            </a:r>
            <a:r>
              <a:rPr lang="en-US" b="1" baseline="0"/>
              <a:t> wise no of instiutes</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C0000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0"/>
          <c:showBubbleSize val="0"/>
          <c:separator>
</c:separator>
          <c:extLst>
            <c:ext xmlns:c15="http://schemas.microsoft.com/office/drawing/2012/chart" uri="{CE6537A1-D6FC-4f65-9D91-7224C49458BB}"/>
          </c:extLst>
        </c:dLbl>
      </c:pivotFmt>
      <c:pivotFmt>
        <c:idx val="1"/>
        <c:spPr>
          <a:solidFill>
            <a:srgbClr val="C00000">
              <a:alpha val="75000"/>
            </a:srgbClr>
          </a:solidFill>
          <a:ln w="19050">
            <a:solidFill>
              <a:schemeClr val="lt1"/>
            </a:solidFill>
          </a:ln>
          <a:effectLst/>
        </c:spPr>
        <c:dLbl>
          <c:idx val="0"/>
          <c:layout>
            <c:manualLayout>
              <c:x val="0.10138888888888879"/>
              <c:y val="9.722222222222222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15:layout>
                <c:manualLayout>
                  <c:w val="0.12269444444444444"/>
                  <c:h val="0.20041666666666666"/>
                </c:manualLayout>
              </c15:layout>
            </c:ext>
          </c:extLst>
        </c:dLbl>
      </c:pivotFmt>
      <c:pivotFmt>
        <c:idx val="2"/>
        <c:spPr>
          <a:solidFill>
            <a:srgbClr val="C00000"/>
          </a:solidFill>
          <a:ln w="19050">
            <a:solidFill>
              <a:schemeClr val="lt1"/>
            </a:solidFill>
          </a:ln>
          <a:effectLst/>
        </c:spPr>
        <c:dLbl>
          <c:idx val="0"/>
          <c:layout>
            <c:manualLayout>
              <c:x val="-0.19583333333333333"/>
              <c:y val="2.0833697871099423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15:layout>
                <c:manualLayout>
                  <c:w val="0.11276399825021872"/>
                  <c:h val="0.13097222222222221"/>
                </c:manualLayout>
              </c15:layout>
            </c:ext>
          </c:extLst>
        </c:dLbl>
      </c:pivotFmt>
      <c:pivotFmt>
        <c:idx val="3"/>
        <c:spPr>
          <a:solidFill>
            <a:srgbClr val="C00000">
              <a:alpha val="60000"/>
            </a:srgbClr>
          </a:solidFill>
          <a:ln w="19050">
            <a:solidFill>
              <a:schemeClr val="lt1"/>
            </a:solidFill>
          </a:ln>
          <a:effectLst/>
        </c:spPr>
      </c:pivotFmt>
      <c:pivotFmt>
        <c:idx val="4"/>
        <c:spPr>
          <a:solidFill>
            <a:srgbClr val="C00000">
              <a:alpha val="64000"/>
            </a:srgbClr>
          </a:solidFill>
          <a:ln w="19050">
            <a:solidFill>
              <a:schemeClr val="lt1"/>
            </a:solidFill>
          </a:ln>
          <a:effectLst/>
        </c:spPr>
      </c:pivotFmt>
      <c:pivotFmt>
        <c:idx val="5"/>
        <c:spPr>
          <a:solidFill>
            <a:srgbClr val="C0000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0"/>
          <c:showBubbleSize val="0"/>
          <c:separator>
</c:separator>
          <c:extLst>
            <c:ext xmlns:c15="http://schemas.microsoft.com/office/drawing/2012/chart" uri="{CE6537A1-D6FC-4f65-9D91-7224C49458BB}"/>
          </c:extLst>
        </c:dLbl>
      </c:pivotFmt>
      <c:pivotFmt>
        <c:idx val="6"/>
        <c:spPr>
          <a:solidFill>
            <a:srgbClr val="C00000"/>
          </a:solidFill>
          <a:ln w="19050">
            <a:solidFill>
              <a:schemeClr val="lt1"/>
            </a:solidFill>
          </a:ln>
          <a:effectLst/>
        </c:spPr>
        <c:dLbl>
          <c:idx val="0"/>
          <c:layout>
            <c:manualLayout>
              <c:x val="-0.19583333333333333"/>
              <c:y val="2.0833697871099423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15:layout>
                <c:manualLayout>
                  <c:w val="0.11276399825021872"/>
                  <c:h val="0.13097222222222221"/>
                </c:manualLayout>
              </c15:layout>
            </c:ext>
          </c:extLst>
        </c:dLbl>
      </c:pivotFmt>
      <c:pivotFmt>
        <c:idx val="7"/>
        <c:spPr>
          <a:solidFill>
            <a:srgbClr val="C00000">
              <a:alpha val="75000"/>
            </a:srgbClr>
          </a:solidFill>
          <a:ln w="19050">
            <a:solidFill>
              <a:schemeClr val="lt1"/>
            </a:solidFill>
          </a:ln>
          <a:effectLst/>
        </c:spPr>
        <c:dLbl>
          <c:idx val="0"/>
          <c:layout>
            <c:manualLayout>
              <c:x val="0.10138888888888879"/>
              <c:y val="9.722222222222222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15:layout>
                <c:manualLayout>
                  <c:w val="0.12269444444444444"/>
                  <c:h val="0.20041666666666666"/>
                </c:manualLayout>
              </c15:layout>
            </c:ext>
          </c:extLst>
        </c:dLbl>
      </c:pivotFmt>
      <c:pivotFmt>
        <c:idx val="8"/>
        <c:spPr>
          <a:solidFill>
            <a:srgbClr val="C00000">
              <a:alpha val="60000"/>
            </a:srgbClr>
          </a:solidFill>
          <a:ln w="19050">
            <a:solidFill>
              <a:schemeClr val="lt1"/>
            </a:solidFill>
          </a:ln>
          <a:effectLst/>
        </c:spPr>
      </c:pivotFmt>
      <c:pivotFmt>
        <c:idx val="9"/>
        <c:spPr>
          <a:solidFill>
            <a:srgbClr val="C00000">
              <a:alpha val="64000"/>
            </a:srgbClr>
          </a:solidFill>
          <a:ln w="19050">
            <a:solidFill>
              <a:schemeClr val="lt1"/>
            </a:solidFill>
          </a:ln>
          <a:effectLst/>
        </c:spPr>
      </c:pivotFmt>
      <c:pivotFmt>
        <c:idx val="10"/>
        <c:spPr>
          <a:solidFill>
            <a:srgbClr val="C0000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0"/>
          <c:showBubbleSize val="0"/>
          <c:separator>
</c:separator>
          <c:extLst>
            <c:ext xmlns:c15="http://schemas.microsoft.com/office/drawing/2012/chart" uri="{CE6537A1-D6FC-4f65-9D91-7224C49458BB}"/>
          </c:extLst>
        </c:dLbl>
      </c:pivotFmt>
      <c:pivotFmt>
        <c:idx val="11"/>
        <c:spPr>
          <a:solidFill>
            <a:srgbClr val="C00000"/>
          </a:solidFill>
          <a:ln w="19050">
            <a:solidFill>
              <a:schemeClr val="lt1"/>
            </a:solidFill>
          </a:ln>
          <a:effectLst/>
        </c:spPr>
        <c:dLbl>
          <c:idx val="0"/>
          <c:layout>
            <c:manualLayout>
              <c:x val="-0.27311010465797037"/>
              <c:y val="9.4363388399979389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15:layout>
                <c:manualLayout>
                  <c:w val="0.16706628776666071"/>
                  <c:h val="0.19088526924330537"/>
                </c:manualLayout>
              </c15:layout>
            </c:ext>
          </c:extLst>
        </c:dLbl>
      </c:pivotFmt>
      <c:pivotFmt>
        <c:idx val="12"/>
        <c:spPr>
          <a:solidFill>
            <a:srgbClr val="C00000">
              <a:alpha val="75000"/>
            </a:srgbClr>
          </a:solidFill>
          <a:ln w="19050">
            <a:solidFill>
              <a:schemeClr val="lt1"/>
            </a:solidFill>
          </a:ln>
          <a:effectLst/>
        </c:spPr>
        <c:dLbl>
          <c:idx val="0"/>
          <c:layout>
            <c:manualLayout>
              <c:x val="0.10138888888888879"/>
              <c:y val="9.722222222222222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15:layout>
                <c:manualLayout>
                  <c:w val="0.12269444444444444"/>
                  <c:h val="0.20041666666666666"/>
                </c:manualLayout>
              </c15:layout>
            </c:ext>
          </c:extLst>
        </c:dLbl>
      </c:pivotFmt>
      <c:pivotFmt>
        <c:idx val="13"/>
        <c:spPr>
          <a:solidFill>
            <a:srgbClr val="C00000">
              <a:alpha val="60000"/>
            </a:srgbClr>
          </a:solidFill>
          <a:ln w="19050">
            <a:solidFill>
              <a:schemeClr val="lt1"/>
            </a:solidFill>
          </a:ln>
          <a:effectLst/>
        </c:spPr>
      </c:pivotFmt>
      <c:pivotFmt>
        <c:idx val="14"/>
        <c:spPr>
          <a:solidFill>
            <a:srgbClr val="C00000">
              <a:alpha val="64000"/>
            </a:srgbClr>
          </a:solidFill>
          <a:ln w="19050">
            <a:solidFill>
              <a:schemeClr val="lt1"/>
            </a:solidFill>
          </a:ln>
          <a:effectLst/>
        </c:spPr>
        <c:dLbl>
          <c:idx val="0"/>
          <c:layout>
            <c:manualLayout>
              <c:x val="-2.9239766081871364E-2"/>
              <c:y val="5.446623093681917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extLst>
        </c:dLbl>
      </c:pivotFmt>
    </c:pivotFmts>
    <c:plotArea>
      <c:layout/>
      <c:pieChart>
        <c:varyColors val="1"/>
        <c:ser>
          <c:idx val="0"/>
          <c:order val="0"/>
          <c:tx>
            <c:strRef>
              <c:f>chart!$V$4</c:f>
              <c:strCache>
                <c:ptCount val="1"/>
                <c:pt idx="0">
                  <c:v>Total</c:v>
                </c:pt>
              </c:strCache>
            </c:strRef>
          </c:tx>
          <c:spPr>
            <a:solidFill>
              <a:srgbClr val="C00000"/>
            </a:solidFill>
          </c:spPr>
          <c:dPt>
            <c:idx val="0"/>
            <c:bubble3D val="0"/>
            <c:spPr>
              <a:solidFill>
                <a:srgbClr val="C00000"/>
              </a:solidFill>
              <a:ln w="19050">
                <a:solidFill>
                  <a:schemeClr val="lt1"/>
                </a:solidFill>
              </a:ln>
              <a:effectLst/>
            </c:spPr>
            <c:extLst>
              <c:ext xmlns:c16="http://schemas.microsoft.com/office/drawing/2014/chart" uri="{C3380CC4-5D6E-409C-BE32-E72D297353CC}">
                <c16:uniqueId val="{00000001-D25A-4972-AFD8-827D42FBD8E1}"/>
              </c:ext>
            </c:extLst>
          </c:dPt>
          <c:dPt>
            <c:idx val="1"/>
            <c:bubble3D val="0"/>
            <c:spPr>
              <a:solidFill>
                <a:srgbClr val="C00000">
                  <a:alpha val="75000"/>
                </a:srgbClr>
              </a:solidFill>
              <a:ln w="19050">
                <a:solidFill>
                  <a:schemeClr val="lt1"/>
                </a:solidFill>
              </a:ln>
              <a:effectLst/>
            </c:spPr>
            <c:extLst>
              <c:ext xmlns:c16="http://schemas.microsoft.com/office/drawing/2014/chart" uri="{C3380CC4-5D6E-409C-BE32-E72D297353CC}">
                <c16:uniqueId val="{00000003-D25A-4972-AFD8-827D42FBD8E1}"/>
              </c:ext>
            </c:extLst>
          </c:dPt>
          <c:dPt>
            <c:idx val="2"/>
            <c:bubble3D val="0"/>
            <c:spPr>
              <a:solidFill>
                <a:srgbClr val="C00000">
                  <a:alpha val="60000"/>
                </a:srgbClr>
              </a:solidFill>
              <a:ln w="19050">
                <a:solidFill>
                  <a:schemeClr val="lt1"/>
                </a:solidFill>
              </a:ln>
              <a:effectLst/>
            </c:spPr>
            <c:extLst>
              <c:ext xmlns:c16="http://schemas.microsoft.com/office/drawing/2014/chart" uri="{C3380CC4-5D6E-409C-BE32-E72D297353CC}">
                <c16:uniqueId val="{00000005-D25A-4972-AFD8-827D42FBD8E1}"/>
              </c:ext>
            </c:extLst>
          </c:dPt>
          <c:dPt>
            <c:idx val="3"/>
            <c:bubble3D val="0"/>
            <c:spPr>
              <a:solidFill>
                <a:srgbClr val="C00000">
                  <a:alpha val="64000"/>
                </a:srgbClr>
              </a:solidFill>
              <a:ln w="19050">
                <a:solidFill>
                  <a:schemeClr val="lt1"/>
                </a:solidFill>
              </a:ln>
              <a:effectLst/>
            </c:spPr>
            <c:extLst>
              <c:ext xmlns:c16="http://schemas.microsoft.com/office/drawing/2014/chart" uri="{C3380CC4-5D6E-409C-BE32-E72D297353CC}">
                <c16:uniqueId val="{00000007-D25A-4972-AFD8-827D42FBD8E1}"/>
              </c:ext>
            </c:extLst>
          </c:dPt>
          <c:dLbls>
            <c:dLbl>
              <c:idx val="0"/>
              <c:layout>
                <c:manualLayout>
                  <c:x val="-0.27311010465797037"/>
                  <c:y val="9.4363388399979389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15:layout>
                    <c:manualLayout>
                      <c:w val="0.16706628776666071"/>
                      <c:h val="0.19088526924330537"/>
                    </c:manualLayout>
                  </c15:layout>
                </c:ext>
                <c:ext xmlns:c16="http://schemas.microsoft.com/office/drawing/2014/chart" uri="{C3380CC4-5D6E-409C-BE32-E72D297353CC}">
                  <c16:uniqueId val="{00000001-D25A-4972-AFD8-827D42FBD8E1}"/>
                </c:ext>
              </c:extLst>
            </c:dLbl>
            <c:dLbl>
              <c:idx val="1"/>
              <c:layout>
                <c:manualLayout>
                  <c:x val="0.10138888888888879"/>
                  <c:y val="9.7222222222222224E-2"/>
                </c:manualLayout>
              </c:layout>
              <c:dLblPos val="bestFit"/>
              <c:showLegendKey val="0"/>
              <c:showVal val="1"/>
              <c:showCatName val="1"/>
              <c:showSerName val="0"/>
              <c:showPercent val="0"/>
              <c:showBubbleSize val="0"/>
              <c:separator>
</c:separator>
              <c:extLst>
                <c:ext xmlns:c15="http://schemas.microsoft.com/office/drawing/2012/chart" uri="{CE6537A1-D6FC-4f65-9D91-7224C49458BB}">
                  <c15:layout>
                    <c:manualLayout>
                      <c:w val="0.12269444444444444"/>
                      <c:h val="0.20041666666666666"/>
                    </c:manualLayout>
                  </c15:layout>
                </c:ext>
                <c:ext xmlns:c16="http://schemas.microsoft.com/office/drawing/2014/chart" uri="{C3380CC4-5D6E-409C-BE32-E72D297353CC}">
                  <c16:uniqueId val="{00000003-D25A-4972-AFD8-827D42FBD8E1}"/>
                </c:ext>
              </c:extLst>
            </c:dLbl>
            <c:dLbl>
              <c:idx val="3"/>
              <c:layout>
                <c:manualLayout>
                  <c:x val="-2.9239766081871364E-2"/>
                  <c:y val="5.4466230936819175E-2"/>
                </c:manualLayout>
              </c:layout>
              <c:dLblPos val="bestFi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7-D25A-4972-AFD8-827D42FBD8E1}"/>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0"/>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chart!$U$5:$U$9</c:f>
              <c:strCache>
                <c:ptCount val="4"/>
                <c:pt idx="0">
                  <c:v>A</c:v>
                </c:pt>
                <c:pt idx="1">
                  <c:v>C</c:v>
                </c:pt>
                <c:pt idx="2">
                  <c:v>D</c:v>
                </c:pt>
                <c:pt idx="3">
                  <c:v>F</c:v>
                </c:pt>
              </c:strCache>
            </c:strRef>
          </c:cat>
          <c:val>
            <c:numRef>
              <c:f>chart!$V$5:$V$9</c:f>
              <c:numCache>
                <c:formatCode>General</c:formatCode>
                <c:ptCount val="4"/>
                <c:pt idx="0">
                  <c:v>1</c:v>
                </c:pt>
                <c:pt idx="1">
                  <c:v>18</c:v>
                </c:pt>
                <c:pt idx="2">
                  <c:v>40</c:v>
                </c:pt>
                <c:pt idx="3">
                  <c:v>41</c:v>
                </c:pt>
              </c:numCache>
            </c:numRef>
          </c:val>
          <c:extLst>
            <c:ext xmlns:c16="http://schemas.microsoft.com/office/drawing/2014/chart" uri="{C3380CC4-5D6E-409C-BE32-E72D297353CC}">
              <c16:uniqueId val="{00000008-D25A-4972-AFD8-827D42FBD8E1}"/>
            </c:ext>
          </c:extLst>
        </c:ser>
        <c:dLbls>
          <c:dLblPos val="outEnd"/>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alpha val="97000"/>
        </a:schemeClr>
      </a:solidFill>
      <a:round/>
    </a:ln>
    <a:effectLst>
      <a:outerShdw blurRad="50800" dist="50800" dir="3660000" algn="ctr" rotWithShape="0">
        <a:schemeClr val="tx1">
          <a:alpha val="43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7">
  <a:schemeClr val="accent4"/>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7">
  <a:schemeClr val="accent4"/>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withinLinear" id="17">
  <a:schemeClr val="accent4"/>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image" Target="../media/image1.png"/><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5" Type="http://schemas.openxmlformats.org/officeDocument/2006/relationships/chart" Target="../charts/chart9.xml"/><Relationship Id="rId4" Type="http://schemas.openxmlformats.org/officeDocument/2006/relationships/chart" Target="../charts/chart8.xml"/></Relationships>
</file>

<file path=xl/drawings/_rels/drawing4.xml.rels><?xml version="1.0" encoding="UTF-8" standalone="yes"?>
<Relationships xmlns="http://schemas.openxmlformats.org/package/2006/relationships"><Relationship Id="rId3" Type="http://schemas.openxmlformats.org/officeDocument/2006/relationships/chart" Target="../charts/chart12.xml"/><Relationship Id="rId2" Type="http://schemas.openxmlformats.org/officeDocument/2006/relationships/chart" Target="../charts/chart11.xml"/><Relationship Id="rId1" Type="http://schemas.openxmlformats.org/officeDocument/2006/relationships/chart" Target="../charts/chart10.xml"/><Relationship Id="rId5" Type="http://schemas.openxmlformats.org/officeDocument/2006/relationships/image" Target="../media/image1.png"/><Relationship Id="rId4"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dr:twoCellAnchor>
    <xdr:from>
      <xdr:col>13</xdr:col>
      <xdr:colOff>53340</xdr:colOff>
      <xdr:row>5</xdr:row>
      <xdr:rowOff>121920</xdr:rowOff>
    </xdr:from>
    <xdr:to>
      <xdr:col>22</xdr:col>
      <xdr:colOff>601980</xdr:colOff>
      <xdr:row>15</xdr:row>
      <xdr:rowOff>125730</xdr:rowOff>
    </xdr:to>
    <xdr:graphicFrame macro="">
      <xdr:nvGraphicFramePr>
        <xdr:cNvPr id="2" name="Chart 1">
          <a:extLst>
            <a:ext uri="{FF2B5EF4-FFF2-40B4-BE49-F238E27FC236}">
              <a16:creationId xmlns:a16="http://schemas.microsoft.com/office/drawing/2014/main" id="{B7CFCBBF-57D0-457D-A204-9185742D9A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45720</xdr:colOff>
      <xdr:row>16</xdr:row>
      <xdr:rowOff>60960</xdr:rowOff>
    </xdr:from>
    <xdr:to>
      <xdr:col>23</xdr:col>
      <xdr:colOff>60960</xdr:colOff>
      <xdr:row>27</xdr:row>
      <xdr:rowOff>175260</xdr:rowOff>
    </xdr:to>
    <xdr:graphicFrame macro="">
      <xdr:nvGraphicFramePr>
        <xdr:cNvPr id="3" name="Chart 2">
          <a:extLst>
            <a:ext uri="{FF2B5EF4-FFF2-40B4-BE49-F238E27FC236}">
              <a16:creationId xmlns:a16="http://schemas.microsoft.com/office/drawing/2014/main" id="{F2422106-A307-4CED-994D-A94F4B3762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99060</xdr:colOff>
      <xdr:row>5</xdr:row>
      <xdr:rowOff>121920</xdr:rowOff>
    </xdr:from>
    <xdr:to>
      <xdr:col>12</xdr:col>
      <xdr:colOff>411480</xdr:colOff>
      <xdr:row>15</xdr:row>
      <xdr:rowOff>129540</xdr:rowOff>
    </xdr:to>
    <xdr:graphicFrame macro="">
      <xdr:nvGraphicFramePr>
        <xdr:cNvPr id="4" name="Chart 3">
          <a:extLst>
            <a:ext uri="{FF2B5EF4-FFF2-40B4-BE49-F238E27FC236}">
              <a16:creationId xmlns:a16="http://schemas.microsoft.com/office/drawing/2014/main" id="{EECE3016-E9D6-47F9-AD0A-D206702266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160020</xdr:colOff>
      <xdr:row>16</xdr:row>
      <xdr:rowOff>91440</xdr:rowOff>
    </xdr:from>
    <xdr:to>
      <xdr:col>12</xdr:col>
      <xdr:colOff>388620</xdr:colOff>
      <xdr:row>28</xdr:row>
      <xdr:rowOff>53340</xdr:rowOff>
    </xdr:to>
    <xdr:graphicFrame macro="">
      <xdr:nvGraphicFramePr>
        <xdr:cNvPr id="5" name="Chart 4">
          <a:extLst>
            <a:ext uri="{FF2B5EF4-FFF2-40B4-BE49-F238E27FC236}">
              <a16:creationId xmlns:a16="http://schemas.microsoft.com/office/drawing/2014/main" id="{DE83EAE0-A281-4363-988A-E9D3CE1F03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oneCellAnchor>
    <xdr:from>
      <xdr:col>0</xdr:col>
      <xdr:colOff>251460</xdr:colOff>
      <xdr:row>0</xdr:row>
      <xdr:rowOff>0</xdr:rowOff>
    </xdr:from>
    <xdr:ext cx="13373100" cy="609784"/>
    <xdr:sp macro="" textlink="">
      <xdr:nvSpPr>
        <xdr:cNvPr id="6" name="Rectangle 5">
          <a:extLst>
            <a:ext uri="{FF2B5EF4-FFF2-40B4-BE49-F238E27FC236}">
              <a16:creationId xmlns:a16="http://schemas.microsoft.com/office/drawing/2014/main" id="{E5A6B479-7C79-4F3A-BDB1-BCD7D31EFFB2}"/>
            </a:ext>
          </a:extLst>
        </xdr:cNvPr>
        <xdr:cNvSpPr/>
      </xdr:nvSpPr>
      <xdr:spPr>
        <a:xfrm>
          <a:off x="251460" y="0"/>
          <a:ext cx="13373100" cy="609784"/>
        </a:xfrm>
        <a:prstGeom prst="rect">
          <a:avLst/>
        </a:prstGeom>
        <a:noFill/>
      </xdr:spPr>
      <xdr:txBody>
        <a:bodyPr wrap="none" lIns="91440" tIns="45720" rIns="91440" bIns="45720">
          <a:noAutofit/>
        </a:bodyPr>
        <a:lstStyle/>
        <a:p>
          <a:pPr algn="ctr"/>
          <a:r>
            <a:rPr lang="en-US" sz="6000" b="1" cap="none" spc="0">
              <a:ln w="9525">
                <a:solidFill>
                  <a:schemeClr val="bg1"/>
                </a:solidFill>
                <a:prstDash val="solid"/>
              </a:ln>
              <a:solidFill>
                <a:schemeClr val="accent5"/>
              </a:solidFill>
              <a:effectLst>
                <a:outerShdw blurRad="12700" dist="38100" dir="2700000" algn="tl" rotWithShape="0">
                  <a:schemeClr val="accent5">
                    <a:lumMod val="60000"/>
                    <a:lumOff val="40000"/>
                  </a:schemeClr>
                </a:outerShdw>
              </a:effectLst>
            </a:rPr>
            <a:t>University Ranking Dashboard</a:t>
          </a:r>
        </a:p>
      </xdr:txBody>
    </xdr:sp>
    <xdr:clientData/>
  </xdr:oneCellAnchor>
  <xdr:twoCellAnchor editAs="oneCell">
    <xdr:from>
      <xdr:col>0</xdr:col>
      <xdr:colOff>99060</xdr:colOff>
      <xdr:row>6</xdr:row>
      <xdr:rowOff>1</xdr:rowOff>
    </xdr:from>
    <xdr:to>
      <xdr:col>3</xdr:col>
      <xdr:colOff>61710</xdr:colOff>
      <xdr:row>10</xdr:row>
      <xdr:rowOff>106681</xdr:rowOff>
    </xdr:to>
    <mc:AlternateContent xmlns:mc="http://schemas.openxmlformats.org/markup-compatibility/2006">
      <mc:Choice xmlns:a14="http://schemas.microsoft.com/office/drawing/2010/main" Requires="a14">
        <xdr:graphicFrame macro="">
          <xdr:nvGraphicFramePr>
            <xdr:cNvPr id="7" name="Grade 1">
              <a:extLst>
                <a:ext uri="{FF2B5EF4-FFF2-40B4-BE49-F238E27FC236}">
                  <a16:creationId xmlns:a16="http://schemas.microsoft.com/office/drawing/2014/main" id="{26A9EE90-6EF3-45E1-A658-84540E922F10}"/>
                </a:ext>
              </a:extLst>
            </xdr:cNvPr>
            <xdr:cNvGraphicFramePr/>
          </xdr:nvGraphicFramePr>
          <xdr:xfrm>
            <a:off x="0" y="0"/>
            <a:ext cx="0" cy="0"/>
          </xdr:xfrm>
          <a:graphic>
            <a:graphicData uri="http://schemas.microsoft.com/office/drawing/2010/slicer">
              <sle:slicer xmlns:sle="http://schemas.microsoft.com/office/drawing/2010/slicer" name="Grade 1"/>
            </a:graphicData>
          </a:graphic>
        </xdr:graphicFrame>
      </mc:Choice>
      <mc:Fallback>
        <xdr:sp macro="" textlink="">
          <xdr:nvSpPr>
            <xdr:cNvPr id="0" name=""/>
            <xdr:cNvSpPr>
              <a:spLocks noTextEdit="1"/>
            </xdr:cNvSpPr>
          </xdr:nvSpPr>
          <xdr:spPr>
            <a:xfrm>
              <a:off x="99060" y="1097281"/>
              <a:ext cx="1791450" cy="8382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83820</xdr:colOff>
      <xdr:row>10</xdr:row>
      <xdr:rowOff>152400</xdr:rowOff>
    </xdr:from>
    <xdr:to>
      <xdr:col>3</xdr:col>
      <xdr:colOff>83820</xdr:colOff>
      <xdr:row>28</xdr:row>
      <xdr:rowOff>76200</xdr:rowOff>
    </xdr:to>
    <mc:AlternateContent xmlns:mc="http://schemas.openxmlformats.org/markup-compatibility/2006">
      <mc:Choice xmlns:a14="http://schemas.microsoft.com/office/drawing/2010/main" Requires="a14">
        <xdr:graphicFrame macro="">
          <xdr:nvGraphicFramePr>
            <xdr:cNvPr id="8" name="State 1">
              <a:extLst>
                <a:ext uri="{FF2B5EF4-FFF2-40B4-BE49-F238E27FC236}">
                  <a16:creationId xmlns:a16="http://schemas.microsoft.com/office/drawing/2014/main" id="{86A7A817-D052-4A91-9CBC-C50751C9F801}"/>
                </a:ext>
              </a:extLst>
            </xdr:cNvPr>
            <xdr:cNvGraphicFramePr/>
          </xdr:nvGraphicFramePr>
          <xdr:xfrm>
            <a:off x="0" y="0"/>
            <a:ext cx="0" cy="0"/>
          </xdr:xfrm>
          <a:graphic>
            <a:graphicData uri="http://schemas.microsoft.com/office/drawing/2010/slicer">
              <sle:slicer xmlns:sle="http://schemas.microsoft.com/office/drawing/2010/slicer" name="State 1"/>
            </a:graphicData>
          </a:graphic>
        </xdr:graphicFrame>
      </mc:Choice>
      <mc:Fallback>
        <xdr:sp macro="" textlink="">
          <xdr:nvSpPr>
            <xdr:cNvPr id="0" name=""/>
            <xdr:cNvSpPr>
              <a:spLocks noTextEdit="1"/>
            </xdr:cNvSpPr>
          </xdr:nvSpPr>
          <xdr:spPr>
            <a:xfrm>
              <a:off x="83820" y="1981200"/>
              <a:ext cx="1828800" cy="32156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160020</xdr:colOff>
      <xdr:row>5</xdr:row>
      <xdr:rowOff>121920</xdr:rowOff>
    </xdr:from>
    <xdr:to>
      <xdr:col>5</xdr:col>
      <xdr:colOff>518160</xdr:colOff>
      <xdr:row>11</xdr:row>
      <xdr:rowOff>0</xdr:rowOff>
    </xdr:to>
    <xdr:sp macro="" textlink="$A$7">
      <xdr:nvSpPr>
        <xdr:cNvPr id="9" name="Rectangle: Rounded Corners 8">
          <a:extLst>
            <a:ext uri="{FF2B5EF4-FFF2-40B4-BE49-F238E27FC236}">
              <a16:creationId xmlns:a16="http://schemas.microsoft.com/office/drawing/2014/main" id="{FF18164C-DD4F-44E0-987A-70D46D6E9EAE}"/>
            </a:ext>
          </a:extLst>
        </xdr:cNvPr>
        <xdr:cNvSpPr/>
      </xdr:nvSpPr>
      <xdr:spPr>
        <a:xfrm>
          <a:off x="1988820" y="1036320"/>
          <a:ext cx="1577340" cy="975360"/>
        </a:xfrm>
        <a:prstGeom prst="roundRect">
          <a:avLst/>
        </a:prstGeom>
        <a:noFill/>
        <a:effectLst>
          <a:outerShdw blurRad="50800" dist="50800" dir="3660000" algn="ctr" rotWithShape="0">
            <a:srgbClr val="000000">
              <a:alpha val="43137"/>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i="0" u="none" strike="noStrike">
              <a:solidFill>
                <a:sysClr val="windowText" lastClr="000000"/>
              </a:solidFill>
              <a:latin typeface="Calibri"/>
              <a:cs typeface="Calibri"/>
            </a:rPr>
            <a:t>No of Institutions</a:t>
          </a:r>
          <a:br>
            <a:rPr lang="en-US" sz="1100" b="0" i="0" u="none" strike="noStrike">
              <a:solidFill>
                <a:sysClr val="windowText" lastClr="000000"/>
              </a:solidFill>
              <a:latin typeface="Calibri"/>
              <a:cs typeface="Calibri"/>
            </a:rPr>
          </a:br>
          <a:fld id="{AE9BCAA1-0C10-43FD-A6D9-193C73775E6B}" type="TxLink">
            <a:rPr lang="en-US" sz="2400" b="0" i="0" u="none" strike="noStrike">
              <a:solidFill>
                <a:sysClr val="windowText" lastClr="000000"/>
              </a:solidFill>
              <a:latin typeface="Calibri"/>
              <a:cs typeface="Calibri"/>
            </a:rPr>
            <a:pPr algn="ctr"/>
            <a:t>100</a:t>
          </a:fld>
          <a:endParaRPr lang="en-IN" sz="2400">
            <a:solidFill>
              <a:sysClr val="windowText" lastClr="000000"/>
            </a:solidFill>
          </a:endParaRPr>
        </a:p>
      </xdr:txBody>
    </xdr:sp>
    <xdr:clientData/>
  </xdr:twoCellAnchor>
  <xdr:twoCellAnchor>
    <xdr:from>
      <xdr:col>3</xdr:col>
      <xdr:colOff>167640</xdr:colOff>
      <xdr:row>14</xdr:row>
      <xdr:rowOff>7620</xdr:rowOff>
    </xdr:from>
    <xdr:to>
      <xdr:col>5</xdr:col>
      <xdr:colOff>556260</xdr:colOff>
      <xdr:row>19</xdr:row>
      <xdr:rowOff>83820</xdr:rowOff>
    </xdr:to>
    <xdr:sp macro="" textlink="$E$7">
      <xdr:nvSpPr>
        <xdr:cNvPr id="10" name="Rectangle: Rounded Corners 9">
          <a:extLst>
            <a:ext uri="{FF2B5EF4-FFF2-40B4-BE49-F238E27FC236}">
              <a16:creationId xmlns:a16="http://schemas.microsoft.com/office/drawing/2014/main" id="{0E8F112F-64D8-419F-8367-C521EC1C3B37}"/>
            </a:ext>
          </a:extLst>
        </xdr:cNvPr>
        <xdr:cNvSpPr/>
      </xdr:nvSpPr>
      <xdr:spPr>
        <a:xfrm>
          <a:off x="1996440" y="2567940"/>
          <a:ext cx="1607820" cy="990600"/>
        </a:xfrm>
        <a:prstGeom prst="roundRect">
          <a:avLst/>
        </a:prstGeom>
        <a:noFill/>
        <a:effectLst>
          <a:outerShdw blurRad="50800" dist="50800" dir="3660000" algn="ctr" rotWithShape="0">
            <a:srgbClr val="000000">
              <a:alpha val="43137"/>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i="0" u="none" strike="noStrike">
              <a:solidFill>
                <a:sysClr val="windowText" lastClr="000000"/>
              </a:solidFill>
              <a:latin typeface="Calibri"/>
              <a:cs typeface="Calibri"/>
            </a:rPr>
            <a:t>Over</a:t>
          </a:r>
          <a:r>
            <a:rPr lang="en-US" sz="1100" b="1" i="0" u="none" strike="noStrike" baseline="0">
              <a:solidFill>
                <a:sysClr val="windowText" lastClr="000000"/>
              </a:solidFill>
              <a:latin typeface="Calibri"/>
              <a:cs typeface="Calibri"/>
            </a:rPr>
            <a:t> all avg score</a:t>
          </a:r>
          <a:br>
            <a:rPr lang="en-US" sz="1100" b="0" i="0" u="none" strike="noStrike">
              <a:solidFill>
                <a:sysClr val="windowText" lastClr="000000"/>
              </a:solidFill>
              <a:latin typeface="Calibri"/>
              <a:cs typeface="Calibri"/>
            </a:rPr>
          </a:br>
          <a:fld id="{D1CB749B-EF00-4001-9A56-9C0B0D7701CE}" type="TxLink">
            <a:rPr lang="en-US" sz="2400" b="0" i="0" u="none" strike="noStrike">
              <a:solidFill>
                <a:sysClr val="windowText" lastClr="000000"/>
              </a:solidFill>
              <a:latin typeface="Calibri"/>
              <a:cs typeface="Calibri"/>
            </a:rPr>
            <a:pPr algn="ctr"/>
            <a:t>53.89 %</a:t>
          </a:fld>
          <a:endParaRPr lang="en-IN" sz="2400">
            <a:solidFill>
              <a:sysClr val="windowText" lastClr="000000"/>
            </a:solidFill>
          </a:endParaRPr>
        </a:p>
      </xdr:txBody>
    </xdr:sp>
    <xdr:clientData/>
  </xdr:twoCellAnchor>
  <xdr:twoCellAnchor>
    <xdr:from>
      <xdr:col>3</xdr:col>
      <xdr:colOff>160020</xdr:colOff>
      <xdr:row>22</xdr:row>
      <xdr:rowOff>167640</xdr:rowOff>
    </xdr:from>
    <xdr:to>
      <xdr:col>6</xdr:col>
      <xdr:colOff>60960</xdr:colOff>
      <xdr:row>28</xdr:row>
      <xdr:rowOff>22860</xdr:rowOff>
    </xdr:to>
    <xdr:sp macro="" textlink="$G$7">
      <xdr:nvSpPr>
        <xdr:cNvPr id="11" name="Rectangle: Rounded Corners 10">
          <a:extLst>
            <a:ext uri="{FF2B5EF4-FFF2-40B4-BE49-F238E27FC236}">
              <a16:creationId xmlns:a16="http://schemas.microsoft.com/office/drawing/2014/main" id="{509D78BC-F710-4E1B-90E3-CB6614999F0C}"/>
            </a:ext>
          </a:extLst>
        </xdr:cNvPr>
        <xdr:cNvSpPr/>
      </xdr:nvSpPr>
      <xdr:spPr>
        <a:xfrm>
          <a:off x="1988820" y="4191000"/>
          <a:ext cx="1729740" cy="952500"/>
        </a:xfrm>
        <a:prstGeom prst="roundRect">
          <a:avLst/>
        </a:prstGeom>
        <a:noFill/>
        <a:effectLst>
          <a:outerShdw blurRad="50800" dist="50800" dir="3660000" algn="ctr" rotWithShape="0">
            <a:srgbClr val="000000">
              <a:alpha val="43137"/>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i="0" u="none" strike="noStrike">
              <a:solidFill>
                <a:sysClr val="windowText" lastClr="000000"/>
              </a:solidFill>
              <a:latin typeface="Calibri"/>
              <a:cs typeface="Calibri"/>
            </a:rPr>
            <a:t>Over</a:t>
          </a:r>
          <a:r>
            <a:rPr lang="en-US" sz="1100" b="1" i="0" u="none" strike="noStrike" baseline="0">
              <a:solidFill>
                <a:sysClr val="windowText" lastClr="000000"/>
              </a:solidFill>
              <a:latin typeface="Calibri"/>
              <a:cs typeface="Calibri"/>
            </a:rPr>
            <a:t> all avg rank</a:t>
          </a:r>
          <a:br>
            <a:rPr lang="en-US" sz="1100" b="0" i="0" u="none" strike="noStrike">
              <a:solidFill>
                <a:sysClr val="windowText" lastClr="000000"/>
              </a:solidFill>
              <a:latin typeface="Calibri"/>
              <a:cs typeface="Calibri"/>
            </a:rPr>
          </a:br>
          <a:fld id="{D2F8A1D4-E572-4679-8B1B-E2EEAC081AE4}" type="TxLink">
            <a:rPr lang="en-US" sz="2400" b="0" i="0" u="none" strike="noStrike">
              <a:solidFill>
                <a:sysClr val="windowText" lastClr="000000"/>
              </a:solidFill>
              <a:latin typeface="Calibri"/>
              <a:cs typeface="Calibri"/>
            </a:rPr>
            <a:t>50.48 %</a:t>
          </a:fld>
          <a:endParaRPr lang="en-IN" sz="2400" b="0">
            <a:solidFill>
              <a:sysClr val="windowText" lastClr="000000"/>
            </a:solidFill>
          </a:endParaRPr>
        </a:p>
      </xdr:txBody>
    </xdr:sp>
    <xdr:clientData/>
  </xdr:twoCellAnchor>
  <xdr:twoCellAnchor editAs="oneCell">
    <xdr:from>
      <xdr:col>0</xdr:col>
      <xdr:colOff>121921</xdr:colOff>
      <xdr:row>0</xdr:row>
      <xdr:rowOff>70485</xdr:rowOff>
    </xdr:from>
    <xdr:to>
      <xdr:col>1</xdr:col>
      <xdr:colOff>533400</xdr:colOff>
      <xdr:row>5</xdr:row>
      <xdr:rowOff>91440</xdr:rowOff>
    </xdr:to>
    <xdr:pic>
      <xdr:nvPicPr>
        <xdr:cNvPr id="12" name="Picture 11">
          <a:extLst>
            <a:ext uri="{FF2B5EF4-FFF2-40B4-BE49-F238E27FC236}">
              <a16:creationId xmlns:a16="http://schemas.microsoft.com/office/drawing/2014/main" id="{BCB34036-097E-4B43-97CA-67581274C39E}"/>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121921" y="70485"/>
          <a:ext cx="1021079" cy="935355"/>
        </a:xfrm>
        <a:prstGeom prst="rect">
          <a:avLst/>
        </a:prstGeom>
        <a:ln>
          <a:solidFill>
            <a:schemeClr val="tx1">
              <a:lumMod val="50000"/>
              <a:lumOff val="50000"/>
            </a:schemeClr>
          </a:solidFill>
        </a:ln>
        <a:effectLst>
          <a:outerShdw blurRad="50800" dist="50800" dir="3660000" algn="ctr" rotWithShape="0">
            <a:srgbClr val="000000">
              <a:alpha val="43137"/>
            </a:srgbClr>
          </a:outerShdw>
        </a:effec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3</xdr:col>
      <xdr:colOff>281940</xdr:colOff>
      <xdr:row>7</xdr:row>
      <xdr:rowOff>3810</xdr:rowOff>
    </xdr:from>
    <xdr:to>
      <xdr:col>10</xdr:col>
      <xdr:colOff>586740</xdr:colOff>
      <xdr:row>24</xdr:row>
      <xdr:rowOff>45720</xdr:rowOff>
    </xdr:to>
    <xdr:graphicFrame macro="">
      <xdr:nvGraphicFramePr>
        <xdr:cNvPr id="5" name="Chart 4">
          <a:extLst>
            <a:ext uri="{FF2B5EF4-FFF2-40B4-BE49-F238E27FC236}">
              <a16:creationId xmlns:a16="http://schemas.microsoft.com/office/drawing/2014/main" id="{18F38F7F-DF31-8D01-EE88-0510F0066F3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39</xdr:col>
      <xdr:colOff>3185160</xdr:colOff>
      <xdr:row>12</xdr:row>
      <xdr:rowOff>118110</xdr:rowOff>
    </xdr:from>
    <xdr:to>
      <xdr:col>44</xdr:col>
      <xdr:colOff>30480</xdr:colOff>
      <xdr:row>27</xdr:row>
      <xdr:rowOff>118110</xdr:rowOff>
    </xdr:to>
    <xdr:graphicFrame macro="">
      <xdr:nvGraphicFramePr>
        <xdr:cNvPr id="2" name="Chart 1">
          <a:extLst>
            <a:ext uri="{FF2B5EF4-FFF2-40B4-BE49-F238E27FC236}">
              <a16:creationId xmlns:a16="http://schemas.microsoft.com/office/drawing/2014/main" id="{9734CB78-32F8-684F-5062-5D84BE10076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121920</xdr:colOff>
      <xdr:row>7</xdr:row>
      <xdr:rowOff>118110</xdr:rowOff>
    </xdr:from>
    <xdr:to>
      <xdr:col>18</xdr:col>
      <xdr:colOff>281940</xdr:colOff>
      <xdr:row>22</xdr:row>
      <xdr:rowOff>118110</xdr:rowOff>
    </xdr:to>
    <xdr:graphicFrame macro="">
      <xdr:nvGraphicFramePr>
        <xdr:cNvPr id="3" name="Chart 2">
          <a:extLst>
            <a:ext uri="{FF2B5EF4-FFF2-40B4-BE49-F238E27FC236}">
              <a16:creationId xmlns:a16="http://schemas.microsoft.com/office/drawing/2014/main" id="{908B00ED-A506-369D-246F-86B01526C70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22</xdr:col>
      <xdr:colOff>144780</xdr:colOff>
      <xdr:row>3</xdr:row>
      <xdr:rowOff>163830</xdr:rowOff>
    </xdr:from>
    <xdr:to>
      <xdr:col>25</xdr:col>
      <xdr:colOff>525780</xdr:colOff>
      <xdr:row>18</xdr:row>
      <xdr:rowOff>163830</xdr:rowOff>
    </xdr:to>
    <xdr:graphicFrame macro="">
      <xdr:nvGraphicFramePr>
        <xdr:cNvPr id="6" name="Chart 5">
          <a:extLst>
            <a:ext uri="{FF2B5EF4-FFF2-40B4-BE49-F238E27FC236}">
              <a16:creationId xmlns:a16="http://schemas.microsoft.com/office/drawing/2014/main" id="{E661C5F4-E0CC-6EB4-17BD-EDA4ED477A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32</xdr:col>
      <xdr:colOff>38100</xdr:colOff>
      <xdr:row>6</xdr:row>
      <xdr:rowOff>125730</xdr:rowOff>
    </xdr:from>
    <xdr:to>
      <xdr:col>37</xdr:col>
      <xdr:colOff>441960</xdr:colOff>
      <xdr:row>21</xdr:row>
      <xdr:rowOff>125730</xdr:rowOff>
    </xdr:to>
    <xdr:graphicFrame macro="">
      <xdr:nvGraphicFramePr>
        <xdr:cNvPr id="7" name="Chart 6">
          <a:extLst>
            <a:ext uri="{FF2B5EF4-FFF2-40B4-BE49-F238E27FC236}">
              <a16:creationId xmlns:a16="http://schemas.microsoft.com/office/drawing/2014/main" id="{92611E13-2124-F7D1-1AEB-B3C742C4863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411480</xdr:colOff>
      <xdr:row>11</xdr:row>
      <xdr:rowOff>114300</xdr:rowOff>
    </xdr:from>
    <xdr:to>
      <xdr:col>2</xdr:col>
      <xdr:colOff>129540</xdr:colOff>
      <xdr:row>16</xdr:row>
      <xdr:rowOff>175260</xdr:rowOff>
    </xdr:to>
    <xdr:sp macro="" textlink="$A$7">
      <xdr:nvSpPr>
        <xdr:cNvPr id="2" name="Rectangle: Rounded Corners 1">
          <a:extLst>
            <a:ext uri="{FF2B5EF4-FFF2-40B4-BE49-F238E27FC236}">
              <a16:creationId xmlns:a16="http://schemas.microsoft.com/office/drawing/2014/main" id="{53B85C38-4332-75F6-7209-6FBE25992157}"/>
            </a:ext>
          </a:extLst>
        </xdr:cNvPr>
        <xdr:cNvSpPr/>
      </xdr:nvSpPr>
      <xdr:spPr>
        <a:xfrm>
          <a:off x="411480" y="2125980"/>
          <a:ext cx="1577340" cy="975360"/>
        </a:xfrm>
        <a:prstGeom prst="roundRect">
          <a:avLst/>
        </a:prstGeom>
        <a:noFill/>
        <a:effectLst>
          <a:outerShdw blurRad="50800" dist="50800" dir="3660000" algn="ctr" rotWithShape="0">
            <a:srgbClr val="000000">
              <a:alpha val="43137"/>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i="0" u="none" strike="noStrike">
              <a:solidFill>
                <a:srgbClr val="E94365"/>
              </a:solidFill>
              <a:latin typeface="Calibri"/>
              <a:cs typeface="Calibri"/>
            </a:rPr>
            <a:t>No of Institutions</a:t>
          </a:r>
          <a:br>
            <a:rPr lang="en-US" sz="1100" b="0" i="0" u="none" strike="noStrike">
              <a:solidFill>
                <a:srgbClr val="E94365"/>
              </a:solidFill>
              <a:latin typeface="Calibri"/>
              <a:cs typeface="Calibri"/>
            </a:rPr>
          </a:br>
          <a:fld id="{AE9BCAA1-0C10-43FD-A6D9-193C73775E6B}" type="TxLink">
            <a:rPr lang="en-US" sz="2400" b="0" i="0" u="none" strike="noStrike">
              <a:solidFill>
                <a:srgbClr val="E94365"/>
              </a:solidFill>
              <a:latin typeface="Calibri"/>
              <a:cs typeface="Calibri"/>
            </a:rPr>
            <a:pPr algn="ctr"/>
            <a:t>100</a:t>
          </a:fld>
          <a:endParaRPr lang="en-IN" sz="2400">
            <a:solidFill>
              <a:srgbClr val="E94365"/>
            </a:solidFill>
          </a:endParaRPr>
        </a:p>
      </xdr:txBody>
    </xdr:sp>
    <xdr:clientData/>
  </xdr:twoCellAnchor>
  <xdr:twoCellAnchor>
    <xdr:from>
      <xdr:col>4</xdr:col>
      <xdr:colOff>15240</xdr:colOff>
      <xdr:row>11</xdr:row>
      <xdr:rowOff>160020</xdr:rowOff>
    </xdr:from>
    <xdr:to>
      <xdr:col>5</xdr:col>
      <xdr:colOff>571500</xdr:colOff>
      <xdr:row>17</xdr:row>
      <xdr:rowOff>53340</xdr:rowOff>
    </xdr:to>
    <xdr:sp macro="" textlink="$E$7">
      <xdr:nvSpPr>
        <xdr:cNvPr id="3" name="Rectangle: Rounded Corners 2">
          <a:extLst>
            <a:ext uri="{FF2B5EF4-FFF2-40B4-BE49-F238E27FC236}">
              <a16:creationId xmlns:a16="http://schemas.microsoft.com/office/drawing/2014/main" id="{8D284FCD-A55D-427A-A053-B018C108E4C8}"/>
            </a:ext>
          </a:extLst>
        </xdr:cNvPr>
        <xdr:cNvSpPr/>
      </xdr:nvSpPr>
      <xdr:spPr>
        <a:xfrm>
          <a:off x="3093720" y="2171700"/>
          <a:ext cx="1607820" cy="990600"/>
        </a:xfrm>
        <a:prstGeom prst="roundRect">
          <a:avLst/>
        </a:prstGeom>
        <a:noFill/>
        <a:effectLst>
          <a:outerShdw blurRad="50800" dist="50800" dir="3660000" algn="ctr" rotWithShape="0">
            <a:srgbClr val="000000">
              <a:alpha val="43137"/>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i="0" u="none" strike="noStrike">
              <a:solidFill>
                <a:srgbClr val="E94365"/>
              </a:solidFill>
              <a:latin typeface="Calibri"/>
              <a:cs typeface="Calibri"/>
            </a:rPr>
            <a:t>Over</a:t>
          </a:r>
          <a:r>
            <a:rPr lang="en-US" sz="1100" b="1" i="0" u="none" strike="noStrike" baseline="0">
              <a:solidFill>
                <a:srgbClr val="E94365"/>
              </a:solidFill>
              <a:latin typeface="Calibri"/>
              <a:cs typeface="Calibri"/>
            </a:rPr>
            <a:t> all avg score</a:t>
          </a:r>
          <a:br>
            <a:rPr lang="en-US" sz="1100" b="0" i="0" u="none" strike="noStrike">
              <a:solidFill>
                <a:srgbClr val="E94365"/>
              </a:solidFill>
              <a:latin typeface="Calibri"/>
              <a:cs typeface="Calibri"/>
            </a:rPr>
          </a:br>
          <a:fld id="{D1CB749B-EF00-4001-9A56-9C0B0D7701CE}" type="TxLink">
            <a:rPr lang="en-US" sz="2400" b="0" i="0" u="none" strike="noStrike">
              <a:solidFill>
                <a:srgbClr val="E94365"/>
              </a:solidFill>
              <a:latin typeface="Calibri"/>
              <a:cs typeface="Calibri"/>
            </a:rPr>
            <a:pPr algn="ctr"/>
            <a:t>53.89 %</a:t>
          </a:fld>
          <a:endParaRPr lang="en-IN" sz="2400">
            <a:solidFill>
              <a:srgbClr val="E94365"/>
            </a:solidFill>
          </a:endParaRPr>
        </a:p>
      </xdr:txBody>
    </xdr:sp>
    <xdr:clientData/>
  </xdr:twoCellAnchor>
  <xdr:twoCellAnchor>
    <xdr:from>
      <xdr:col>6</xdr:col>
      <xdr:colOff>441960</xdr:colOff>
      <xdr:row>11</xdr:row>
      <xdr:rowOff>106680</xdr:rowOff>
    </xdr:from>
    <xdr:to>
      <xdr:col>8</xdr:col>
      <xdr:colOff>541020</xdr:colOff>
      <xdr:row>17</xdr:row>
      <xdr:rowOff>152400</xdr:rowOff>
    </xdr:to>
    <xdr:sp macro="" textlink="$G$7">
      <xdr:nvSpPr>
        <xdr:cNvPr id="4" name="Rectangle: Rounded Corners 3">
          <a:extLst>
            <a:ext uri="{FF2B5EF4-FFF2-40B4-BE49-F238E27FC236}">
              <a16:creationId xmlns:a16="http://schemas.microsoft.com/office/drawing/2014/main" id="{E4FD5C34-786B-47A1-9D9A-F53371F2925C}"/>
            </a:ext>
          </a:extLst>
        </xdr:cNvPr>
        <xdr:cNvSpPr/>
      </xdr:nvSpPr>
      <xdr:spPr>
        <a:xfrm>
          <a:off x="5181600" y="2118360"/>
          <a:ext cx="1729740" cy="1143000"/>
        </a:xfrm>
        <a:prstGeom prst="roundRect">
          <a:avLst/>
        </a:prstGeom>
        <a:noFill/>
        <a:effectLst>
          <a:outerShdw blurRad="50800" dist="50800" dir="3660000" algn="ctr" rotWithShape="0">
            <a:srgbClr val="000000">
              <a:alpha val="43137"/>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i="0" u="none" strike="noStrike">
              <a:solidFill>
                <a:srgbClr val="E94365"/>
              </a:solidFill>
              <a:latin typeface="Calibri"/>
              <a:cs typeface="Calibri"/>
            </a:rPr>
            <a:t>Over</a:t>
          </a:r>
          <a:r>
            <a:rPr lang="en-US" sz="1100" b="1" i="0" u="none" strike="noStrike" baseline="0">
              <a:solidFill>
                <a:srgbClr val="E94365"/>
              </a:solidFill>
              <a:latin typeface="Calibri"/>
              <a:cs typeface="Calibri"/>
            </a:rPr>
            <a:t> all avg rank</a:t>
          </a:r>
          <a:br>
            <a:rPr lang="en-US" sz="1100" b="0" i="0" u="none" strike="noStrike">
              <a:solidFill>
                <a:srgbClr val="E94365"/>
              </a:solidFill>
              <a:latin typeface="Calibri"/>
              <a:cs typeface="Calibri"/>
            </a:rPr>
          </a:br>
          <a:fld id="{D2F8A1D4-E572-4679-8B1B-E2EEAC081AE4}" type="TxLink">
            <a:rPr lang="en-US" sz="2400" b="0" i="0" u="none" strike="noStrike">
              <a:solidFill>
                <a:srgbClr val="E94365"/>
              </a:solidFill>
              <a:latin typeface="Calibri"/>
              <a:cs typeface="Calibri"/>
            </a:rPr>
            <a:t>50.48 %</a:t>
          </a:fld>
          <a:endParaRPr lang="en-IN" sz="2400" b="0">
            <a:solidFill>
              <a:srgbClr val="E94365"/>
            </a:solidFill>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13</xdr:col>
      <xdr:colOff>53340</xdr:colOff>
      <xdr:row>5</xdr:row>
      <xdr:rowOff>121920</xdr:rowOff>
    </xdr:from>
    <xdr:to>
      <xdr:col>22</xdr:col>
      <xdr:colOff>601980</xdr:colOff>
      <xdr:row>15</xdr:row>
      <xdr:rowOff>125730</xdr:rowOff>
    </xdr:to>
    <xdr:graphicFrame macro="">
      <xdr:nvGraphicFramePr>
        <xdr:cNvPr id="2" name="Chart 1">
          <a:extLst>
            <a:ext uri="{FF2B5EF4-FFF2-40B4-BE49-F238E27FC236}">
              <a16:creationId xmlns:a16="http://schemas.microsoft.com/office/drawing/2014/main" id="{D2321299-7B17-41CA-9A6B-BDCE9BAFF3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45720</xdr:colOff>
      <xdr:row>16</xdr:row>
      <xdr:rowOff>60960</xdr:rowOff>
    </xdr:from>
    <xdr:to>
      <xdr:col>23</xdr:col>
      <xdr:colOff>60960</xdr:colOff>
      <xdr:row>27</xdr:row>
      <xdr:rowOff>175260</xdr:rowOff>
    </xdr:to>
    <xdr:graphicFrame macro="">
      <xdr:nvGraphicFramePr>
        <xdr:cNvPr id="3" name="Chart 2">
          <a:extLst>
            <a:ext uri="{FF2B5EF4-FFF2-40B4-BE49-F238E27FC236}">
              <a16:creationId xmlns:a16="http://schemas.microsoft.com/office/drawing/2014/main" id="{5A6B3471-114A-4631-BDB5-9A1DDAE947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99060</xdr:colOff>
      <xdr:row>5</xdr:row>
      <xdr:rowOff>121920</xdr:rowOff>
    </xdr:from>
    <xdr:to>
      <xdr:col>12</xdr:col>
      <xdr:colOff>411480</xdr:colOff>
      <xdr:row>15</xdr:row>
      <xdr:rowOff>129540</xdr:rowOff>
    </xdr:to>
    <xdr:graphicFrame macro="">
      <xdr:nvGraphicFramePr>
        <xdr:cNvPr id="6" name="Chart 5">
          <a:extLst>
            <a:ext uri="{FF2B5EF4-FFF2-40B4-BE49-F238E27FC236}">
              <a16:creationId xmlns:a16="http://schemas.microsoft.com/office/drawing/2014/main" id="{30DD80A7-0B7F-4BDE-8846-8D81D76D5A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160020</xdr:colOff>
      <xdr:row>16</xdr:row>
      <xdr:rowOff>91440</xdr:rowOff>
    </xdr:from>
    <xdr:to>
      <xdr:col>12</xdr:col>
      <xdr:colOff>388620</xdr:colOff>
      <xdr:row>28</xdr:row>
      <xdr:rowOff>53340</xdr:rowOff>
    </xdr:to>
    <xdr:graphicFrame macro="">
      <xdr:nvGraphicFramePr>
        <xdr:cNvPr id="7" name="Chart 6">
          <a:extLst>
            <a:ext uri="{FF2B5EF4-FFF2-40B4-BE49-F238E27FC236}">
              <a16:creationId xmlns:a16="http://schemas.microsoft.com/office/drawing/2014/main" id="{E19BB138-FD35-461B-A873-55CCCB0A9F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oneCellAnchor>
    <xdr:from>
      <xdr:col>0</xdr:col>
      <xdr:colOff>251460</xdr:colOff>
      <xdr:row>0</xdr:row>
      <xdr:rowOff>0</xdr:rowOff>
    </xdr:from>
    <xdr:ext cx="13373100" cy="609784"/>
    <xdr:sp macro="" textlink="">
      <xdr:nvSpPr>
        <xdr:cNvPr id="9" name="Rectangle 8">
          <a:extLst>
            <a:ext uri="{FF2B5EF4-FFF2-40B4-BE49-F238E27FC236}">
              <a16:creationId xmlns:a16="http://schemas.microsoft.com/office/drawing/2014/main" id="{05F23778-C3D0-FA3E-EE01-4DADBCAE10B0}"/>
            </a:ext>
          </a:extLst>
        </xdr:cNvPr>
        <xdr:cNvSpPr/>
      </xdr:nvSpPr>
      <xdr:spPr>
        <a:xfrm>
          <a:off x="251460" y="0"/>
          <a:ext cx="13373100" cy="609784"/>
        </a:xfrm>
        <a:prstGeom prst="rect">
          <a:avLst/>
        </a:prstGeom>
        <a:noFill/>
      </xdr:spPr>
      <xdr:txBody>
        <a:bodyPr wrap="none" lIns="91440" tIns="45720" rIns="91440" bIns="45720">
          <a:noAutofit/>
        </a:bodyPr>
        <a:lstStyle/>
        <a:p>
          <a:pPr algn="ctr"/>
          <a:r>
            <a:rPr lang="en-US" sz="6000" b="1" cap="none" spc="0">
              <a:ln w="9525">
                <a:solidFill>
                  <a:schemeClr val="bg1"/>
                </a:solidFill>
                <a:prstDash val="solid"/>
              </a:ln>
              <a:solidFill>
                <a:schemeClr val="tx1"/>
              </a:solidFill>
              <a:effectLst>
                <a:outerShdw blurRad="12700" dist="38100" dir="2700000" algn="tl" rotWithShape="0">
                  <a:schemeClr val="accent5">
                    <a:lumMod val="60000"/>
                    <a:lumOff val="40000"/>
                  </a:schemeClr>
                </a:outerShdw>
              </a:effectLst>
            </a:rPr>
            <a:t>University Ranking Dashboard</a:t>
          </a:r>
        </a:p>
      </xdr:txBody>
    </xdr:sp>
    <xdr:clientData/>
  </xdr:oneCellAnchor>
  <xdr:twoCellAnchor editAs="oneCell">
    <xdr:from>
      <xdr:col>0</xdr:col>
      <xdr:colOff>99060</xdr:colOff>
      <xdr:row>6</xdr:row>
      <xdr:rowOff>1</xdr:rowOff>
    </xdr:from>
    <xdr:to>
      <xdr:col>3</xdr:col>
      <xdr:colOff>61710</xdr:colOff>
      <xdr:row>10</xdr:row>
      <xdr:rowOff>106681</xdr:rowOff>
    </xdr:to>
    <mc:AlternateContent xmlns:mc="http://schemas.openxmlformats.org/markup-compatibility/2006">
      <mc:Choice xmlns:a14="http://schemas.microsoft.com/office/drawing/2010/main" Requires="a14">
        <xdr:graphicFrame macro="">
          <xdr:nvGraphicFramePr>
            <xdr:cNvPr id="10" name="Grade">
              <a:extLst>
                <a:ext uri="{FF2B5EF4-FFF2-40B4-BE49-F238E27FC236}">
                  <a16:creationId xmlns:a16="http://schemas.microsoft.com/office/drawing/2014/main" id="{C13FE1E4-3CAD-E651-3147-8CF42843CEA5}"/>
                </a:ext>
              </a:extLst>
            </xdr:cNvPr>
            <xdr:cNvGraphicFramePr/>
          </xdr:nvGraphicFramePr>
          <xdr:xfrm>
            <a:off x="0" y="0"/>
            <a:ext cx="0" cy="0"/>
          </xdr:xfrm>
          <a:graphic>
            <a:graphicData uri="http://schemas.microsoft.com/office/drawing/2010/slicer">
              <sle:slicer xmlns:sle="http://schemas.microsoft.com/office/drawing/2010/slicer" name="Grade"/>
            </a:graphicData>
          </a:graphic>
        </xdr:graphicFrame>
      </mc:Choice>
      <mc:Fallback>
        <xdr:sp macro="" textlink="">
          <xdr:nvSpPr>
            <xdr:cNvPr id="0" name=""/>
            <xdr:cNvSpPr>
              <a:spLocks noTextEdit="1"/>
            </xdr:cNvSpPr>
          </xdr:nvSpPr>
          <xdr:spPr>
            <a:xfrm>
              <a:off x="99060" y="1097281"/>
              <a:ext cx="1791450" cy="8382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83820</xdr:colOff>
      <xdr:row>10</xdr:row>
      <xdr:rowOff>152400</xdr:rowOff>
    </xdr:from>
    <xdr:to>
      <xdr:col>3</xdr:col>
      <xdr:colOff>83820</xdr:colOff>
      <xdr:row>28</xdr:row>
      <xdr:rowOff>76200</xdr:rowOff>
    </xdr:to>
    <mc:AlternateContent xmlns:mc="http://schemas.openxmlformats.org/markup-compatibility/2006">
      <mc:Choice xmlns:a14="http://schemas.microsoft.com/office/drawing/2010/main" Requires="a14">
        <xdr:graphicFrame macro="">
          <xdr:nvGraphicFramePr>
            <xdr:cNvPr id="12" name="State">
              <a:extLst>
                <a:ext uri="{FF2B5EF4-FFF2-40B4-BE49-F238E27FC236}">
                  <a16:creationId xmlns:a16="http://schemas.microsoft.com/office/drawing/2014/main" id="{5DFD31AD-3C8A-3F2A-E1ED-2C701780B1AB}"/>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dr:sp macro="" textlink="">
          <xdr:nvSpPr>
            <xdr:cNvPr id="0" name=""/>
            <xdr:cNvSpPr>
              <a:spLocks noTextEdit="1"/>
            </xdr:cNvSpPr>
          </xdr:nvSpPr>
          <xdr:spPr>
            <a:xfrm>
              <a:off x="83820" y="1981200"/>
              <a:ext cx="1828800" cy="32156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160020</xdr:colOff>
      <xdr:row>5</xdr:row>
      <xdr:rowOff>121920</xdr:rowOff>
    </xdr:from>
    <xdr:to>
      <xdr:col>5</xdr:col>
      <xdr:colOff>518160</xdr:colOff>
      <xdr:row>11</xdr:row>
      <xdr:rowOff>0</xdr:rowOff>
    </xdr:to>
    <xdr:sp macro="" textlink="$A$7">
      <xdr:nvSpPr>
        <xdr:cNvPr id="16" name="Rectangle: Rounded Corners 15">
          <a:extLst>
            <a:ext uri="{FF2B5EF4-FFF2-40B4-BE49-F238E27FC236}">
              <a16:creationId xmlns:a16="http://schemas.microsoft.com/office/drawing/2014/main" id="{C29A2452-AB8B-4D22-805B-D862D1A48A68}"/>
            </a:ext>
          </a:extLst>
        </xdr:cNvPr>
        <xdr:cNvSpPr/>
      </xdr:nvSpPr>
      <xdr:spPr>
        <a:xfrm>
          <a:off x="1988820" y="1036320"/>
          <a:ext cx="1577340" cy="975360"/>
        </a:xfrm>
        <a:prstGeom prst="roundRect">
          <a:avLst/>
        </a:prstGeom>
        <a:noFill/>
        <a:effectLst>
          <a:outerShdw blurRad="50800" dist="50800" dir="3660000" algn="ctr" rotWithShape="0">
            <a:srgbClr val="000000">
              <a:alpha val="43137"/>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i="0" u="none" strike="noStrike">
              <a:solidFill>
                <a:sysClr val="windowText" lastClr="000000"/>
              </a:solidFill>
              <a:latin typeface="Calibri"/>
              <a:cs typeface="Calibri"/>
            </a:rPr>
            <a:t>No of Institutions</a:t>
          </a:r>
          <a:br>
            <a:rPr lang="en-US" sz="1100" b="0" i="0" u="none" strike="noStrike">
              <a:solidFill>
                <a:sysClr val="windowText" lastClr="000000"/>
              </a:solidFill>
              <a:latin typeface="Calibri"/>
              <a:cs typeface="Calibri"/>
            </a:rPr>
          </a:br>
          <a:fld id="{AE9BCAA1-0C10-43FD-A6D9-193C73775E6B}" type="TxLink">
            <a:rPr lang="en-US" sz="2400" b="0" i="0" u="none" strike="noStrike">
              <a:solidFill>
                <a:sysClr val="windowText" lastClr="000000"/>
              </a:solidFill>
              <a:latin typeface="Calibri"/>
              <a:cs typeface="Calibri"/>
            </a:rPr>
            <a:pPr algn="ctr"/>
            <a:t>100</a:t>
          </a:fld>
          <a:endParaRPr lang="en-IN" sz="2400">
            <a:solidFill>
              <a:sysClr val="windowText" lastClr="000000"/>
            </a:solidFill>
          </a:endParaRPr>
        </a:p>
      </xdr:txBody>
    </xdr:sp>
    <xdr:clientData/>
  </xdr:twoCellAnchor>
  <xdr:twoCellAnchor>
    <xdr:from>
      <xdr:col>3</xdr:col>
      <xdr:colOff>167640</xdr:colOff>
      <xdr:row>14</xdr:row>
      <xdr:rowOff>7620</xdr:rowOff>
    </xdr:from>
    <xdr:to>
      <xdr:col>5</xdr:col>
      <xdr:colOff>556260</xdr:colOff>
      <xdr:row>19</xdr:row>
      <xdr:rowOff>83820</xdr:rowOff>
    </xdr:to>
    <xdr:sp macro="" textlink="$E$7">
      <xdr:nvSpPr>
        <xdr:cNvPr id="17" name="Rectangle: Rounded Corners 16">
          <a:extLst>
            <a:ext uri="{FF2B5EF4-FFF2-40B4-BE49-F238E27FC236}">
              <a16:creationId xmlns:a16="http://schemas.microsoft.com/office/drawing/2014/main" id="{7910FDC6-6F82-43FE-B707-16300DAFA23A}"/>
            </a:ext>
          </a:extLst>
        </xdr:cNvPr>
        <xdr:cNvSpPr/>
      </xdr:nvSpPr>
      <xdr:spPr>
        <a:xfrm>
          <a:off x="1996440" y="2567940"/>
          <a:ext cx="1607820" cy="990600"/>
        </a:xfrm>
        <a:prstGeom prst="roundRect">
          <a:avLst/>
        </a:prstGeom>
        <a:noFill/>
        <a:effectLst>
          <a:outerShdw blurRad="50800" dist="50800" dir="3660000" algn="ctr" rotWithShape="0">
            <a:srgbClr val="000000">
              <a:alpha val="43137"/>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i="0" u="none" strike="noStrike">
              <a:solidFill>
                <a:sysClr val="windowText" lastClr="000000"/>
              </a:solidFill>
              <a:latin typeface="Calibri"/>
              <a:cs typeface="Calibri"/>
            </a:rPr>
            <a:t>Over</a:t>
          </a:r>
          <a:r>
            <a:rPr lang="en-US" sz="1100" b="1" i="0" u="none" strike="noStrike" baseline="0">
              <a:solidFill>
                <a:sysClr val="windowText" lastClr="000000"/>
              </a:solidFill>
              <a:latin typeface="Calibri"/>
              <a:cs typeface="Calibri"/>
            </a:rPr>
            <a:t> all avg score</a:t>
          </a:r>
          <a:br>
            <a:rPr lang="en-US" sz="1100" b="0" i="0" u="none" strike="noStrike">
              <a:solidFill>
                <a:sysClr val="windowText" lastClr="000000"/>
              </a:solidFill>
              <a:latin typeface="Calibri"/>
              <a:cs typeface="Calibri"/>
            </a:rPr>
          </a:br>
          <a:fld id="{D1CB749B-EF00-4001-9A56-9C0B0D7701CE}" type="TxLink">
            <a:rPr lang="en-US" sz="2400" b="0" i="0" u="none" strike="noStrike">
              <a:solidFill>
                <a:sysClr val="windowText" lastClr="000000"/>
              </a:solidFill>
              <a:latin typeface="Calibri"/>
              <a:cs typeface="Calibri"/>
            </a:rPr>
            <a:pPr algn="ctr"/>
            <a:t>53.89 %</a:t>
          </a:fld>
          <a:endParaRPr lang="en-IN" sz="2400">
            <a:solidFill>
              <a:sysClr val="windowText" lastClr="000000"/>
            </a:solidFill>
          </a:endParaRPr>
        </a:p>
      </xdr:txBody>
    </xdr:sp>
    <xdr:clientData/>
  </xdr:twoCellAnchor>
  <xdr:twoCellAnchor>
    <xdr:from>
      <xdr:col>3</xdr:col>
      <xdr:colOff>160020</xdr:colOff>
      <xdr:row>22</xdr:row>
      <xdr:rowOff>167640</xdr:rowOff>
    </xdr:from>
    <xdr:to>
      <xdr:col>6</xdr:col>
      <xdr:colOff>60960</xdr:colOff>
      <xdr:row>28</xdr:row>
      <xdr:rowOff>22860</xdr:rowOff>
    </xdr:to>
    <xdr:sp macro="" textlink="$G$7">
      <xdr:nvSpPr>
        <xdr:cNvPr id="18" name="Rectangle: Rounded Corners 17">
          <a:extLst>
            <a:ext uri="{FF2B5EF4-FFF2-40B4-BE49-F238E27FC236}">
              <a16:creationId xmlns:a16="http://schemas.microsoft.com/office/drawing/2014/main" id="{866CF430-CAC2-4C7B-B1C1-B06F08E7A76F}"/>
            </a:ext>
          </a:extLst>
        </xdr:cNvPr>
        <xdr:cNvSpPr/>
      </xdr:nvSpPr>
      <xdr:spPr>
        <a:xfrm>
          <a:off x="1988820" y="4191000"/>
          <a:ext cx="1729740" cy="952500"/>
        </a:xfrm>
        <a:prstGeom prst="roundRect">
          <a:avLst/>
        </a:prstGeom>
        <a:noFill/>
        <a:effectLst>
          <a:outerShdw blurRad="50800" dist="50800" dir="3660000" algn="ctr" rotWithShape="0">
            <a:srgbClr val="000000">
              <a:alpha val="43137"/>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i="0" u="none" strike="noStrike">
              <a:solidFill>
                <a:sysClr val="windowText" lastClr="000000"/>
              </a:solidFill>
              <a:latin typeface="Calibri"/>
              <a:cs typeface="Calibri"/>
            </a:rPr>
            <a:t>Over</a:t>
          </a:r>
          <a:r>
            <a:rPr lang="en-US" sz="1100" b="1" i="0" u="none" strike="noStrike" baseline="0">
              <a:solidFill>
                <a:sysClr val="windowText" lastClr="000000"/>
              </a:solidFill>
              <a:latin typeface="Calibri"/>
              <a:cs typeface="Calibri"/>
            </a:rPr>
            <a:t> all avg rank</a:t>
          </a:r>
          <a:br>
            <a:rPr lang="en-US" sz="1100" b="0" i="0" u="none" strike="noStrike">
              <a:solidFill>
                <a:sysClr val="windowText" lastClr="000000"/>
              </a:solidFill>
              <a:latin typeface="Calibri"/>
              <a:cs typeface="Calibri"/>
            </a:rPr>
          </a:br>
          <a:fld id="{D2F8A1D4-E572-4679-8B1B-E2EEAC081AE4}" type="TxLink">
            <a:rPr lang="en-US" sz="2400" b="0" i="0" u="none" strike="noStrike">
              <a:solidFill>
                <a:sysClr val="windowText" lastClr="000000"/>
              </a:solidFill>
              <a:latin typeface="Calibri"/>
              <a:cs typeface="Calibri"/>
            </a:rPr>
            <a:t>50.48 %</a:t>
          </a:fld>
          <a:endParaRPr lang="en-IN" sz="2400" b="0">
            <a:solidFill>
              <a:sysClr val="windowText" lastClr="000000"/>
            </a:solidFill>
          </a:endParaRPr>
        </a:p>
      </xdr:txBody>
    </xdr:sp>
    <xdr:clientData/>
  </xdr:twoCellAnchor>
  <xdr:twoCellAnchor editAs="oneCell">
    <xdr:from>
      <xdr:col>0</xdr:col>
      <xdr:colOff>121921</xdr:colOff>
      <xdr:row>0</xdr:row>
      <xdr:rowOff>70485</xdr:rowOff>
    </xdr:from>
    <xdr:to>
      <xdr:col>1</xdr:col>
      <xdr:colOff>533400</xdr:colOff>
      <xdr:row>5</xdr:row>
      <xdr:rowOff>91440</xdr:rowOff>
    </xdr:to>
    <xdr:pic>
      <xdr:nvPicPr>
        <xdr:cNvPr id="20" name="Picture 19">
          <a:extLst>
            <a:ext uri="{FF2B5EF4-FFF2-40B4-BE49-F238E27FC236}">
              <a16:creationId xmlns:a16="http://schemas.microsoft.com/office/drawing/2014/main" id="{0323DF42-B09B-D359-6C53-257FE3224E76}"/>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121921" y="70485"/>
          <a:ext cx="1021079" cy="935355"/>
        </a:xfrm>
        <a:prstGeom prst="rect">
          <a:avLst/>
        </a:prstGeom>
        <a:ln>
          <a:solidFill>
            <a:schemeClr val="tx1">
              <a:lumMod val="50000"/>
              <a:lumOff val="50000"/>
            </a:schemeClr>
          </a:solidFill>
        </a:ln>
        <a:effectLst>
          <a:outerShdw blurRad="50800" dist="50800" dir="3660000" algn="ctr" rotWithShape="0">
            <a:srgbClr val="000000">
              <a:alpha val="43137"/>
            </a:srgbClr>
          </a:outerShdw>
        </a:effectLst>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ASWANTH" refreshedDate="45918.485072800926" createdVersion="5" refreshedVersion="8" minRefreshableVersion="3" recordCount="0" supportSubquery="1" supportAdvancedDrill="1" xr:uid="{4DA52474-B360-4062-9D1F-21390BA9CB27}">
  <cacheSource type="external" connectionId="5"/>
  <cacheFields count="2">
    <cacheField name="[Institute_ranking].[Grade].[Grade]" caption="Grade" numFmtId="0" hierarchy="8" level="1">
      <sharedItems count="4">
        <s v="A"/>
        <s v="C"/>
        <s v="D"/>
        <s v="F"/>
      </sharedItems>
    </cacheField>
    <cacheField name="[Measures].[Count of Institute ID 2]" caption="Count of Institute ID 2" numFmtId="0" hierarchy="25" level="32767"/>
  </cacheFields>
  <cacheHierarchies count="33">
    <cacheHierarchy uniqueName="[Institute_details].[Institute ID]" caption="Institute ID" attribute="1" defaultMemberUniqueName="[Institute_details].[Institute ID].[All]" allUniqueName="[Institute_details].[Institute ID].[All]" dimensionUniqueName="[Institute_details]" displayFolder="" count="0" memberValueDatatype="130" unbalanced="0"/>
    <cacheHierarchy uniqueName="[Institute_details].[Name]" caption="Name" attribute="1" defaultMemberUniqueName="[Institute_details].[Name].[All]" allUniqueName="[Institute_details].[Name].[All]" dimensionUniqueName="[Institute_details]" displayFolder="" count="0" memberValueDatatype="130" unbalanced="0"/>
    <cacheHierarchy uniqueName="[Institute_location].[Institute ID]" caption="Institute ID" attribute="1" defaultMemberUniqueName="[Institute_location].[Institute ID].[All]" allUniqueName="[Institute_location].[Institute ID].[All]" dimensionUniqueName="[Institute_location]" displayFolder="" count="0" memberValueDatatype="130" unbalanced="0"/>
    <cacheHierarchy uniqueName="[Institute_location].[City]" caption="City" attribute="1" defaultMemberUniqueName="[Institute_location].[City].[All]" allUniqueName="[Institute_location].[City].[All]" dimensionUniqueName="[Institute_location]" displayFolder="" count="0" memberValueDatatype="130" unbalanced="0"/>
    <cacheHierarchy uniqueName="[Institute_location].[State]" caption="State" attribute="1" defaultMemberUniqueName="[Institute_location].[State].[All]" allUniqueName="[Institute_location].[State].[All]" dimensionUniqueName="[Institute_location]" displayFolder="" count="0" memberValueDatatype="130" unbalanced="0"/>
    <cacheHierarchy uniqueName="[Institute_ranking].[Institute ID]" caption="Institute ID" attribute="1" defaultMemberUniqueName="[Institute_ranking].[Institute ID].[All]" allUniqueName="[Institute_ranking].[Institute ID].[All]" dimensionUniqueName="[Institute_ranking]" displayFolder="" count="0" memberValueDatatype="130" unbalanced="0"/>
    <cacheHierarchy uniqueName="[Institute_ranking].[Score]" caption="Score" attribute="1" defaultMemberUniqueName="[Institute_ranking].[Score].[All]" allUniqueName="[Institute_ranking].[Score].[All]" dimensionUniqueName="[Institute_ranking]" displayFolder="" count="0" memberValueDatatype="5" unbalanced="0"/>
    <cacheHierarchy uniqueName="[Institute_ranking].[Rank]" caption="Rank" attribute="1" defaultMemberUniqueName="[Institute_ranking].[Rank].[All]" allUniqueName="[Institute_ranking].[Rank].[All]" dimensionUniqueName="[Institute_ranking]" displayFolder="" count="0" memberValueDatatype="20" unbalanced="0"/>
    <cacheHierarchy uniqueName="[Institute_ranking].[Grade]" caption="Grade" attribute="1" defaultMemberUniqueName="[Institute_ranking].[Grade].[All]" allUniqueName="[Institute_ranking].[Grade].[All]" dimensionUniqueName="[Institute_ranking]" displayFolder="" count="2" memberValueDatatype="130" unbalanced="0">
      <fieldsUsage count="2">
        <fieldUsage x="-1"/>
        <fieldUsage x="0"/>
      </fieldsUsage>
    </cacheHierarchy>
    <cacheHierarchy uniqueName="[Institute_ranking].[Rank - Copy]" caption="Rank - Copy" attribute="1" defaultMemberUniqueName="[Institute_ranking].[Rank - Copy].[All]" allUniqueName="[Institute_ranking].[Rank - Copy].[All]" dimensionUniqueName="[Institute_ranking]" displayFolder="" count="0" memberValueDatatype="130" unbalanced="0"/>
    <cacheHierarchy uniqueName="[Institute_ranking].[Score - Copy]" caption="Score - Copy" attribute="1" defaultMemberUniqueName="[Institute_ranking].[Score - Copy].[All]" allUniqueName="[Institute_ranking].[Score - Copy].[All]" dimensionUniqueName="[Institute_ranking]" displayFolder="" count="0" memberValueDatatype="130" unbalanced="0"/>
    <cacheHierarchy uniqueName="[Merge1].[Institute_ranking.Rank]" caption="Institute_ranking.Rank" attribute="1" defaultMemberUniqueName="[Merge1].[Institute_ranking.Rank].[All]" allUniqueName="[Merge1].[Institute_ranking.Rank].[All]" dimensionUniqueName="[Merge1]" displayFolder="" count="0" memberValueDatatype="20" unbalanced="0"/>
    <cacheHierarchy uniqueName="[Merge1].[Name]" caption="Name" attribute="1" defaultMemberUniqueName="[Merge1].[Name].[All]" allUniqueName="[Merge1].[Name].[All]" dimensionUniqueName="[Merge1]" displayFolder="" count="0" memberValueDatatype="130" unbalanced="0"/>
    <cacheHierarchy uniqueName="[Merge1].[Institute_ranking.Score]" caption="Institute_ranking.Score" attribute="1" defaultMemberUniqueName="[Merge1].[Institute_ranking.Score].[All]" allUniqueName="[Merge1].[Institute_ranking.Score].[All]" dimensionUniqueName="[Merge1]" displayFolder="" count="0" memberValueDatatype="5" unbalanced="0"/>
    <cacheHierarchy uniqueName="[Merge1].[Institute ID]" caption="Institute ID" attribute="1" defaultMemberUniqueName="[Merge1].[Institute ID].[All]" allUniqueName="[Merge1].[Institute ID].[All]" dimensionUniqueName="[Merge1]" displayFolder="" count="0" memberValueDatatype="130" unbalanced="0"/>
    <cacheHierarchy uniqueName="[Measures].[__XL_Count Institute_details]" caption="__XL_Count Institute_details" measure="1" displayFolder="" measureGroup="Institute_details" count="0" hidden="1"/>
    <cacheHierarchy uniqueName="[Measures].[__XL_Count Institute_location]" caption="__XL_Count Institute_location" measure="1" displayFolder="" measureGroup="Institute_location" count="0" hidden="1"/>
    <cacheHierarchy uniqueName="[Measures].[__XL_Count Institute_ranking]" caption="__XL_Count Institute_ranking" measure="1" displayFolder="" measureGroup="Institute_ranking" count="0" hidden="1"/>
    <cacheHierarchy uniqueName="[Measures].[__XL_Count Merge1]" caption="__XL_Count Merge1" measure="1" displayFolder="" measureGroup="Merge1" count="0" hidden="1"/>
    <cacheHierarchy uniqueName="[Measures].[__No measures defined]" caption="__No measures defined" measure="1" displayFolder="" count="0" hidden="1"/>
    <cacheHierarchy uniqueName="[Measures].[Sum of Rank]" caption="Sum of Rank" measure="1" displayFolder="" measureGroup="Institute_ranking" count="0" hidden="1">
      <extLst>
        <ext xmlns:x15="http://schemas.microsoft.com/office/spreadsheetml/2010/11/main" uri="{B97F6D7D-B522-45F9-BDA1-12C45D357490}">
          <x15:cacheHierarchy aggregatedColumn="7"/>
        </ext>
      </extLst>
    </cacheHierarchy>
    <cacheHierarchy uniqueName="[Measures].[Average of Rank]" caption="Average of Rank" measure="1" displayFolder="" measureGroup="Institute_ranking" count="0" hidden="1">
      <extLst>
        <ext xmlns:x15="http://schemas.microsoft.com/office/spreadsheetml/2010/11/main" uri="{B97F6D7D-B522-45F9-BDA1-12C45D357490}">
          <x15:cacheHierarchy aggregatedColumn="7"/>
        </ext>
      </extLst>
    </cacheHierarchy>
    <cacheHierarchy uniqueName="[Measures].[Sum of Score]" caption="Sum of Score" measure="1" displayFolder="" measureGroup="Institute_ranking" count="0" hidden="1">
      <extLst>
        <ext xmlns:x15="http://schemas.microsoft.com/office/spreadsheetml/2010/11/main" uri="{B97F6D7D-B522-45F9-BDA1-12C45D357490}">
          <x15:cacheHierarchy aggregatedColumn="6"/>
        </ext>
      </extLst>
    </cacheHierarchy>
    <cacheHierarchy uniqueName="[Measures].[Average of Score]" caption="Average of Score" measure="1" displayFolder="" measureGroup="Institute_ranking" count="0" hidden="1">
      <extLst>
        <ext xmlns:x15="http://schemas.microsoft.com/office/spreadsheetml/2010/11/main" uri="{B97F6D7D-B522-45F9-BDA1-12C45D357490}">
          <x15:cacheHierarchy aggregatedColumn="6"/>
        </ext>
      </extLst>
    </cacheHierarchy>
    <cacheHierarchy uniqueName="[Measures].[Count of Institute ID]" caption="Count of Institute ID" measure="1" displayFolder="" measureGroup="Institute_location" count="0" hidden="1">
      <extLst>
        <ext xmlns:x15="http://schemas.microsoft.com/office/spreadsheetml/2010/11/main" uri="{B97F6D7D-B522-45F9-BDA1-12C45D357490}">
          <x15:cacheHierarchy aggregatedColumn="2"/>
        </ext>
      </extLst>
    </cacheHierarchy>
    <cacheHierarchy uniqueName="[Measures].[Count of Institute ID 2]" caption="Count of Institute ID 2" measure="1" displayFolder="" measureGroup="Institute_details" count="0" oneField="1" hidden="1">
      <fieldsUsage count="1">
        <fieldUsage x="1"/>
      </fieldsUsage>
      <extLst>
        <ext xmlns:x15="http://schemas.microsoft.com/office/spreadsheetml/2010/11/main" uri="{B97F6D7D-B522-45F9-BDA1-12C45D357490}">
          <x15:cacheHierarchy aggregatedColumn="0"/>
        </ext>
      </extLst>
    </cacheHierarchy>
    <cacheHierarchy uniqueName="[Measures].[Count of Name]" caption="Count of Name" measure="1" displayFolder="" measureGroup="Institute_details" count="0" hidden="1">
      <extLst>
        <ext xmlns:x15="http://schemas.microsoft.com/office/spreadsheetml/2010/11/main" uri="{B97F6D7D-B522-45F9-BDA1-12C45D357490}">
          <x15:cacheHierarchy aggregatedColumn="1"/>
        </ext>
      </extLst>
    </cacheHierarchy>
    <cacheHierarchy uniqueName="[Measures].[Count of Rank - Copy]" caption="Count of Rank - Copy" measure="1" displayFolder="" measureGroup="Institute_ranking" count="0" hidden="1">
      <extLst>
        <ext xmlns:x15="http://schemas.microsoft.com/office/spreadsheetml/2010/11/main" uri="{B97F6D7D-B522-45F9-BDA1-12C45D357490}">
          <x15:cacheHierarchy aggregatedColumn="9"/>
        </ext>
      </extLst>
    </cacheHierarchy>
    <cacheHierarchy uniqueName="[Measures].[Distinct Count of Rank - Copy]" caption="Distinct Count of Rank - Copy" measure="1" displayFolder="" measureGroup="Institute_ranking" count="0" hidden="1">
      <extLst>
        <ext xmlns:x15="http://schemas.microsoft.com/office/spreadsheetml/2010/11/main" uri="{B97F6D7D-B522-45F9-BDA1-12C45D357490}">
          <x15:cacheHierarchy aggregatedColumn="9"/>
        </ext>
      </extLst>
    </cacheHierarchy>
    <cacheHierarchy uniqueName="[Measures].[Max of Score]" caption="Max of Score" measure="1" displayFolder="" measureGroup="Institute_ranking" count="0" hidden="1">
      <extLst>
        <ext xmlns:x15="http://schemas.microsoft.com/office/spreadsheetml/2010/11/main" uri="{B97F6D7D-B522-45F9-BDA1-12C45D357490}">
          <x15:cacheHierarchy aggregatedColumn="6"/>
        </ext>
      </extLst>
    </cacheHierarchy>
    <cacheHierarchy uniqueName="[Measures].[Distinct Count of Rank]" caption="Distinct Count of Rank" measure="1" displayFolder="" measureGroup="Institute_ranking" count="0" hidden="1">
      <extLst>
        <ext xmlns:x15="http://schemas.microsoft.com/office/spreadsheetml/2010/11/main" uri="{B97F6D7D-B522-45F9-BDA1-12C45D357490}">
          <x15:cacheHierarchy aggregatedColumn="7"/>
        </ext>
      </extLst>
    </cacheHierarchy>
    <cacheHierarchy uniqueName="[Measures].[Sum of Institute_ranking.Rank]" caption="Sum of Institute_ranking.Rank" measure="1" displayFolder="" measureGroup="Merge1" count="0" hidden="1">
      <extLst>
        <ext xmlns:x15="http://schemas.microsoft.com/office/spreadsheetml/2010/11/main" uri="{B97F6D7D-B522-45F9-BDA1-12C45D357490}">
          <x15:cacheHierarchy aggregatedColumn="11"/>
        </ext>
      </extLst>
    </cacheHierarchy>
    <cacheHierarchy uniqueName="[Measures].[Count of Name 2]" caption="Count of Name 2" measure="1" displayFolder="" measureGroup="Merge1" count="0" hidden="1">
      <extLst>
        <ext xmlns:x15="http://schemas.microsoft.com/office/spreadsheetml/2010/11/main" uri="{B97F6D7D-B522-45F9-BDA1-12C45D357490}">
          <x15:cacheHierarchy aggregatedColumn="12"/>
        </ext>
      </extLst>
    </cacheHierarchy>
  </cacheHierarchies>
  <kpis count="0"/>
  <dimensions count="5">
    <dimension name="Institute_details" uniqueName="[Institute_details]" caption="Institute_details"/>
    <dimension name="Institute_location" uniqueName="[Institute_location]" caption="Institute_location"/>
    <dimension name="Institute_ranking" uniqueName="[Institute_ranking]" caption="Institute_ranking"/>
    <dimension measure="1" name="Measures" uniqueName="[Measures]" caption="Measures"/>
    <dimension name="Merge1" uniqueName="[Merge1]" caption="Merge1"/>
  </dimensions>
  <measureGroups count="4">
    <measureGroup name="Institute_details" caption="Institute_details"/>
    <measureGroup name="Institute_location" caption="Institute_location"/>
    <measureGroup name="Institute_ranking" caption="Institute_ranking"/>
    <measureGroup name="Merge1" caption="Merge1"/>
  </measureGroups>
  <maps count="6">
    <map measureGroup="0" dimension="0"/>
    <map measureGroup="0" dimension="1"/>
    <map measureGroup="0" dimension="2"/>
    <map measureGroup="1" dimension="1"/>
    <map measureGroup="2" dimension="2"/>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ASWANTH" refreshedDate="45918.486720601853" createdVersion="5" refreshedVersion="8" minRefreshableVersion="3" recordCount="0" supportSubquery="1" supportAdvancedDrill="1" xr:uid="{51C82A51-B7C3-456B-9BC7-5E1C9EAA1EAA}">
  <cacheSource type="external" connectionId="5"/>
  <cacheFields count="2">
    <cacheField name="[Institute_location].[State].[State]" caption="State" numFmtId="0" hierarchy="4" level="1">
      <sharedItems count="22">
        <s v="Andhra Pradesh"/>
        <s v="Assam"/>
        <s v="Chandigarh"/>
        <s v="Delhi"/>
        <s v="Gujarat"/>
        <s v="Haryana"/>
        <s v="Himachal Pradesh"/>
        <s v="Jammu and Kashmir"/>
        <s v="Jharkhand"/>
        <s v="Karnataka"/>
        <s v="Kerala"/>
        <s v="Maharashtra"/>
        <s v="Mizoram"/>
        <s v="Odisha"/>
        <s v="Pondicherry"/>
        <s v="Punjab"/>
        <s v="Rajasthan"/>
        <s v="Tamil Nadu"/>
        <s v="Telangana"/>
        <s v="Uttar Pradesh"/>
        <s v="Uttarakhand"/>
        <s v="West Bengal"/>
      </sharedItems>
    </cacheField>
    <cacheField name="[Measures].[Count of Institute ID 2]" caption="Count of Institute ID 2" numFmtId="0" hierarchy="25" level="32767"/>
  </cacheFields>
  <cacheHierarchies count="33">
    <cacheHierarchy uniqueName="[Institute_details].[Institute ID]" caption="Institute ID" attribute="1" defaultMemberUniqueName="[Institute_details].[Institute ID].[All]" allUniqueName="[Institute_details].[Institute ID].[All]" dimensionUniqueName="[Institute_details]" displayFolder="" count="0" memberValueDatatype="130" unbalanced="0"/>
    <cacheHierarchy uniqueName="[Institute_details].[Name]" caption="Name" attribute="1" defaultMemberUniqueName="[Institute_details].[Name].[All]" allUniqueName="[Institute_details].[Name].[All]" dimensionUniqueName="[Institute_details]" displayFolder="" count="0" memberValueDatatype="130" unbalanced="0"/>
    <cacheHierarchy uniqueName="[Institute_location].[Institute ID]" caption="Institute ID" attribute="1" defaultMemberUniqueName="[Institute_location].[Institute ID].[All]" allUniqueName="[Institute_location].[Institute ID].[All]" dimensionUniqueName="[Institute_location]" displayFolder="" count="0" memberValueDatatype="130" unbalanced="0"/>
    <cacheHierarchy uniqueName="[Institute_location].[City]" caption="City" attribute="1" defaultMemberUniqueName="[Institute_location].[City].[All]" allUniqueName="[Institute_location].[City].[All]" dimensionUniqueName="[Institute_location]" displayFolder="" count="0" memberValueDatatype="130" unbalanced="0"/>
    <cacheHierarchy uniqueName="[Institute_location].[State]" caption="State" attribute="1" defaultMemberUniqueName="[Institute_location].[State].[All]" allUniqueName="[Institute_location].[State].[All]" dimensionUniqueName="[Institute_location]" displayFolder="" count="2" memberValueDatatype="130" unbalanced="0">
      <fieldsUsage count="2">
        <fieldUsage x="-1"/>
        <fieldUsage x="0"/>
      </fieldsUsage>
    </cacheHierarchy>
    <cacheHierarchy uniqueName="[Institute_ranking].[Institute ID]" caption="Institute ID" attribute="1" defaultMemberUniqueName="[Institute_ranking].[Institute ID].[All]" allUniqueName="[Institute_ranking].[Institute ID].[All]" dimensionUniqueName="[Institute_ranking]" displayFolder="" count="0" memberValueDatatype="130" unbalanced="0"/>
    <cacheHierarchy uniqueName="[Institute_ranking].[Score]" caption="Score" attribute="1" defaultMemberUniqueName="[Institute_ranking].[Score].[All]" allUniqueName="[Institute_ranking].[Score].[All]" dimensionUniqueName="[Institute_ranking]" displayFolder="" count="0" memberValueDatatype="5" unbalanced="0"/>
    <cacheHierarchy uniqueName="[Institute_ranking].[Rank]" caption="Rank" attribute="1" defaultMemberUniqueName="[Institute_ranking].[Rank].[All]" allUniqueName="[Institute_ranking].[Rank].[All]" dimensionUniqueName="[Institute_ranking]" displayFolder="" count="0" memberValueDatatype="20" unbalanced="0"/>
    <cacheHierarchy uniqueName="[Institute_ranking].[Grade]" caption="Grade" attribute="1" defaultMemberUniqueName="[Institute_ranking].[Grade].[All]" allUniqueName="[Institute_ranking].[Grade].[All]" dimensionUniqueName="[Institute_ranking]" displayFolder="" count="0" memberValueDatatype="130" unbalanced="0"/>
    <cacheHierarchy uniqueName="[Institute_ranking].[Rank - Copy]" caption="Rank - Copy" attribute="1" defaultMemberUniqueName="[Institute_ranking].[Rank - Copy].[All]" allUniqueName="[Institute_ranking].[Rank - Copy].[All]" dimensionUniqueName="[Institute_ranking]" displayFolder="" count="0" memberValueDatatype="130" unbalanced="0"/>
    <cacheHierarchy uniqueName="[Institute_ranking].[Score - Copy]" caption="Score - Copy" attribute="1" defaultMemberUniqueName="[Institute_ranking].[Score - Copy].[All]" allUniqueName="[Institute_ranking].[Score - Copy].[All]" dimensionUniqueName="[Institute_ranking]" displayFolder="" count="0" memberValueDatatype="130" unbalanced="0"/>
    <cacheHierarchy uniqueName="[Merge1].[Institute_ranking.Rank]" caption="Institute_ranking.Rank" attribute="1" defaultMemberUniqueName="[Merge1].[Institute_ranking.Rank].[All]" allUniqueName="[Merge1].[Institute_ranking.Rank].[All]" dimensionUniqueName="[Merge1]" displayFolder="" count="0" memberValueDatatype="20" unbalanced="0"/>
    <cacheHierarchy uniqueName="[Merge1].[Name]" caption="Name" attribute="1" defaultMemberUniqueName="[Merge1].[Name].[All]" allUniqueName="[Merge1].[Name].[All]" dimensionUniqueName="[Merge1]" displayFolder="" count="0" memberValueDatatype="130" unbalanced="0"/>
    <cacheHierarchy uniqueName="[Merge1].[Institute_ranking.Score]" caption="Institute_ranking.Score" attribute="1" defaultMemberUniqueName="[Merge1].[Institute_ranking.Score].[All]" allUniqueName="[Merge1].[Institute_ranking.Score].[All]" dimensionUniqueName="[Merge1]" displayFolder="" count="0" memberValueDatatype="5" unbalanced="0"/>
    <cacheHierarchy uniqueName="[Merge1].[Institute ID]" caption="Institute ID" attribute="1" defaultMemberUniqueName="[Merge1].[Institute ID].[All]" allUniqueName="[Merge1].[Institute ID].[All]" dimensionUniqueName="[Merge1]" displayFolder="" count="0" memberValueDatatype="130" unbalanced="0"/>
    <cacheHierarchy uniqueName="[Measures].[__XL_Count Institute_details]" caption="__XL_Count Institute_details" measure="1" displayFolder="" measureGroup="Institute_details" count="0" hidden="1"/>
    <cacheHierarchy uniqueName="[Measures].[__XL_Count Institute_location]" caption="__XL_Count Institute_location" measure="1" displayFolder="" measureGroup="Institute_location" count="0" hidden="1"/>
    <cacheHierarchy uniqueName="[Measures].[__XL_Count Institute_ranking]" caption="__XL_Count Institute_ranking" measure="1" displayFolder="" measureGroup="Institute_ranking" count="0" hidden="1"/>
    <cacheHierarchy uniqueName="[Measures].[__XL_Count Merge1]" caption="__XL_Count Merge1" measure="1" displayFolder="" measureGroup="Merge1" count="0" hidden="1"/>
    <cacheHierarchy uniqueName="[Measures].[__No measures defined]" caption="__No measures defined" measure="1" displayFolder="" count="0" hidden="1"/>
    <cacheHierarchy uniqueName="[Measures].[Sum of Rank]" caption="Sum of Rank" measure="1" displayFolder="" measureGroup="Institute_ranking" count="0" hidden="1">
      <extLst>
        <ext xmlns:x15="http://schemas.microsoft.com/office/spreadsheetml/2010/11/main" uri="{B97F6D7D-B522-45F9-BDA1-12C45D357490}">
          <x15:cacheHierarchy aggregatedColumn="7"/>
        </ext>
      </extLst>
    </cacheHierarchy>
    <cacheHierarchy uniqueName="[Measures].[Average of Rank]" caption="Average of Rank" measure="1" displayFolder="" measureGroup="Institute_ranking" count="0" hidden="1">
      <extLst>
        <ext xmlns:x15="http://schemas.microsoft.com/office/spreadsheetml/2010/11/main" uri="{B97F6D7D-B522-45F9-BDA1-12C45D357490}">
          <x15:cacheHierarchy aggregatedColumn="7"/>
        </ext>
      </extLst>
    </cacheHierarchy>
    <cacheHierarchy uniqueName="[Measures].[Sum of Score]" caption="Sum of Score" measure="1" displayFolder="" measureGroup="Institute_ranking" count="0" hidden="1">
      <extLst>
        <ext xmlns:x15="http://schemas.microsoft.com/office/spreadsheetml/2010/11/main" uri="{B97F6D7D-B522-45F9-BDA1-12C45D357490}">
          <x15:cacheHierarchy aggregatedColumn="6"/>
        </ext>
      </extLst>
    </cacheHierarchy>
    <cacheHierarchy uniqueName="[Measures].[Average of Score]" caption="Average of Score" measure="1" displayFolder="" measureGroup="Institute_ranking" count="0" hidden="1">
      <extLst>
        <ext xmlns:x15="http://schemas.microsoft.com/office/spreadsheetml/2010/11/main" uri="{B97F6D7D-B522-45F9-BDA1-12C45D357490}">
          <x15:cacheHierarchy aggregatedColumn="6"/>
        </ext>
      </extLst>
    </cacheHierarchy>
    <cacheHierarchy uniqueName="[Measures].[Count of Institute ID]" caption="Count of Institute ID" measure="1" displayFolder="" measureGroup="Institute_location" count="0" hidden="1">
      <extLst>
        <ext xmlns:x15="http://schemas.microsoft.com/office/spreadsheetml/2010/11/main" uri="{B97F6D7D-B522-45F9-BDA1-12C45D357490}">
          <x15:cacheHierarchy aggregatedColumn="2"/>
        </ext>
      </extLst>
    </cacheHierarchy>
    <cacheHierarchy uniqueName="[Measures].[Count of Institute ID 2]" caption="Count of Institute ID 2" measure="1" displayFolder="" measureGroup="Institute_details" count="0" oneField="1" hidden="1">
      <fieldsUsage count="1">
        <fieldUsage x="1"/>
      </fieldsUsage>
      <extLst>
        <ext xmlns:x15="http://schemas.microsoft.com/office/spreadsheetml/2010/11/main" uri="{B97F6D7D-B522-45F9-BDA1-12C45D357490}">
          <x15:cacheHierarchy aggregatedColumn="0"/>
        </ext>
      </extLst>
    </cacheHierarchy>
    <cacheHierarchy uniqueName="[Measures].[Count of Name]" caption="Count of Name" measure="1" displayFolder="" measureGroup="Institute_details" count="0" hidden="1">
      <extLst>
        <ext xmlns:x15="http://schemas.microsoft.com/office/spreadsheetml/2010/11/main" uri="{B97F6D7D-B522-45F9-BDA1-12C45D357490}">
          <x15:cacheHierarchy aggregatedColumn="1"/>
        </ext>
      </extLst>
    </cacheHierarchy>
    <cacheHierarchy uniqueName="[Measures].[Count of Rank - Copy]" caption="Count of Rank - Copy" measure="1" displayFolder="" measureGroup="Institute_ranking" count="0" hidden="1">
      <extLst>
        <ext xmlns:x15="http://schemas.microsoft.com/office/spreadsheetml/2010/11/main" uri="{B97F6D7D-B522-45F9-BDA1-12C45D357490}">
          <x15:cacheHierarchy aggregatedColumn="9"/>
        </ext>
      </extLst>
    </cacheHierarchy>
    <cacheHierarchy uniqueName="[Measures].[Distinct Count of Rank - Copy]" caption="Distinct Count of Rank - Copy" measure="1" displayFolder="" measureGroup="Institute_ranking" count="0" hidden="1">
      <extLst>
        <ext xmlns:x15="http://schemas.microsoft.com/office/spreadsheetml/2010/11/main" uri="{B97F6D7D-B522-45F9-BDA1-12C45D357490}">
          <x15:cacheHierarchy aggregatedColumn="9"/>
        </ext>
      </extLst>
    </cacheHierarchy>
    <cacheHierarchy uniqueName="[Measures].[Max of Score]" caption="Max of Score" measure="1" displayFolder="" measureGroup="Institute_ranking" count="0" hidden="1">
      <extLst>
        <ext xmlns:x15="http://schemas.microsoft.com/office/spreadsheetml/2010/11/main" uri="{B97F6D7D-B522-45F9-BDA1-12C45D357490}">
          <x15:cacheHierarchy aggregatedColumn="6"/>
        </ext>
      </extLst>
    </cacheHierarchy>
    <cacheHierarchy uniqueName="[Measures].[Distinct Count of Rank]" caption="Distinct Count of Rank" measure="1" displayFolder="" measureGroup="Institute_ranking" count="0" hidden="1">
      <extLst>
        <ext xmlns:x15="http://schemas.microsoft.com/office/spreadsheetml/2010/11/main" uri="{B97F6D7D-B522-45F9-BDA1-12C45D357490}">
          <x15:cacheHierarchy aggregatedColumn="7"/>
        </ext>
      </extLst>
    </cacheHierarchy>
    <cacheHierarchy uniqueName="[Measures].[Sum of Institute_ranking.Rank]" caption="Sum of Institute_ranking.Rank" measure="1" displayFolder="" measureGroup="Merge1" count="0" hidden="1">
      <extLst>
        <ext xmlns:x15="http://schemas.microsoft.com/office/spreadsheetml/2010/11/main" uri="{B97F6D7D-B522-45F9-BDA1-12C45D357490}">
          <x15:cacheHierarchy aggregatedColumn="11"/>
        </ext>
      </extLst>
    </cacheHierarchy>
    <cacheHierarchy uniqueName="[Measures].[Count of Name 2]" caption="Count of Name 2" measure="1" displayFolder="" measureGroup="Merge1" count="0" hidden="1">
      <extLst>
        <ext xmlns:x15="http://schemas.microsoft.com/office/spreadsheetml/2010/11/main" uri="{B97F6D7D-B522-45F9-BDA1-12C45D357490}">
          <x15:cacheHierarchy aggregatedColumn="12"/>
        </ext>
      </extLst>
    </cacheHierarchy>
  </cacheHierarchies>
  <kpis count="0"/>
  <dimensions count="5">
    <dimension name="Institute_details" uniqueName="[Institute_details]" caption="Institute_details"/>
    <dimension name="Institute_location" uniqueName="[Institute_location]" caption="Institute_location"/>
    <dimension name="Institute_ranking" uniqueName="[Institute_ranking]" caption="Institute_ranking"/>
    <dimension measure="1" name="Measures" uniqueName="[Measures]" caption="Measures"/>
    <dimension name="Merge1" uniqueName="[Merge1]" caption="Merge1"/>
  </dimensions>
  <measureGroups count="4">
    <measureGroup name="Institute_details" caption="Institute_details"/>
    <measureGroup name="Institute_location" caption="Institute_location"/>
    <measureGroup name="Institute_ranking" caption="Institute_ranking"/>
    <measureGroup name="Merge1" caption="Merge1"/>
  </measureGroups>
  <maps count="6">
    <map measureGroup="0" dimension="0"/>
    <map measureGroup="0" dimension="1"/>
    <map measureGroup="0" dimension="2"/>
    <map measureGroup="1" dimension="1"/>
    <map measureGroup="2" dimension="2"/>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ASWANTH" refreshedDate="45918.485077546298" createdVersion="5" refreshedVersion="8" minRefreshableVersion="3" recordCount="0" supportSubquery="1" supportAdvancedDrill="1" xr:uid="{989CACB8-57D8-4E5F-AA2C-1C53313A6B5F}">
  <cacheSource type="external" connectionId="5"/>
  <cacheFields count="2">
    <cacheField name="[Institute_location].[State].[State]" caption="State" numFmtId="0" hierarchy="4" level="1">
      <sharedItems count="22">
        <s v="Andhra Pradesh"/>
        <s v="Assam"/>
        <s v="Chandigarh"/>
        <s v="Delhi"/>
        <s v="Gujarat"/>
        <s v="Haryana"/>
        <s v="Himachal Pradesh"/>
        <s v="Jammu and Kashmir"/>
        <s v="Jharkhand"/>
        <s v="Karnataka"/>
        <s v="Kerala"/>
        <s v="Maharashtra"/>
        <s v="Mizoram"/>
        <s v="Odisha"/>
        <s v="Pondicherry"/>
        <s v="Punjab"/>
        <s v="Rajasthan"/>
        <s v="Tamil Nadu"/>
        <s v="Telangana"/>
        <s v="Uttar Pradesh"/>
        <s v="Uttarakhand"/>
        <s v="West Bengal"/>
      </sharedItems>
    </cacheField>
    <cacheField name="[Measures].[Average of Score]" caption="Average of Score" numFmtId="0" hierarchy="23" level="32767"/>
  </cacheFields>
  <cacheHierarchies count="33">
    <cacheHierarchy uniqueName="[Institute_details].[Institute ID]" caption="Institute ID" attribute="1" defaultMemberUniqueName="[Institute_details].[Institute ID].[All]" allUniqueName="[Institute_details].[Institute ID].[All]" dimensionUniqueName="[Institute_details]" displayFolder="" count="0" memberValueDatatype="130" unbalanced="0"/>
    <cacheHierarchy uniqueName="[Institute_details].[Name]" caption="Name" attribute="1" defaultMemberUniqueName="[Institute_details].[Name].[All]" allUniqueName="[Institute_details].[Name].[All]" dimensionUniqueName="[Institute_details]" displayFolder="" count="0" memberValueDatatype="130" unbalanced="0"/>
    <cacheHierarchy uniqueName="[Institute_location].[Institute ID]" caption="Institute ID" attribute="1" defaultMemberUniqueName="[Institute_location].[Institute ID].[All]" allUniqueName="[Institute_location].[Institute ID].[All]" dimensionUniqueName="[Institute_location]" displayFolder="" count="0" memberValueDatatype="130" unbalanced="0"/>
    <cacheHierarchy uniqueName="[Institute_location].[City]" caption="City" attribute="1" defaultMemberUniqueName="[Institute_location].[City].[All]" allUniqueName="[Institute_location].[City].[All]" dimensionUniqueName="[Institute_location]" displayFolder="" count="0" memberValueDatatype="130" unbalanced="0"/>
    <cacheHierarchy uniqueName="[Institute_location].[State]" caption="State" attribute="1" defaultMemberUniqueName="[Institute_location].[State].[All]" allUniqueName="[Institute_location].[State].[All]" dimensionUniqueName="[Institute_location]" displayFolder="" count="2" memberValueDatatype="130" unbalanced="0">
      <fieldsUsage count="2">
        <fieldUsage x="-1"/>
        <fieldUsage x="0"/>
      </fieldsUsage>
    </cacheHierarchy>
    <cacheHierarchy uniqueName="[Institute_ranking].[Institute ID]" caption="Institute ID" attribute="1" defaultMemberUniqueName="[Institute_ranking].[Institute ID].[All]" allUniqueName="[Institute_ranking].[Institute ID].[All]" dimensionUniqueName="[Institute_ranking]" displayFolder="" count="0" memberValueDatatype="130" unbalanced="0"/>
    <cacheHierarchy uniqueName="[Institute_ranking].[Score]" caption="Score" attribute="1" defaultMemberUniqueName="[Institute_ranking].[Score].[All]" allUniqueName="[Institute_ranking].[Score].[All]" dimensionUniqueName="[Institute_ranking]" displayFolder="" count="0" memberValueDatatype="5" unbalanced="0"/>
    <cacheHierarchy uniqueName="[Institute_ranking].[Rank]" caption="Rank" attribute="1" defaultMemberUniqueName="[Institute_ranking].[Rank].[All]" allUniqueName="[Institute_ranking].[Rank].[All]" dimensionUniqueName="[Institute_ranking]" displayFolder="" count="0" memberValueDatatype="20" unbalanced="0"/>
    <cacheHierarchy uniqueName="[Institute_ranking].[Grade]" caption="Grade" attribute="1" defaultMemberUniqueName="[Institute_ranking].[Grade].[All]" allUniqueName="[Institute_ranking].[Grade].[All]" dimensionUniqueName="[Institute_ranking]" displayFolder="" count="0" memberValueDatatype="130" unbalanced="0"/>
    <cacheHierarchy uniqueName="[Institute_ranking].[Rank - Copy]" caption="Rank - Copy" attribute="1" defaultMemberUniqueName="[Institute_ranking].[Rank - Copy].[All]" allUniqueName="[Institute_ranking].[Rank - Copy].[All]" dimensionUniqueName="[Institute_ranking]" displayFolder="" count="0" memberValueDatatype="130" unbalanced="0"/>
    <cacheHierarchy uniqueName="[Institute_ranking].[Score - Copy]" caption="Score - Copy" attribute="1" defaultMemberUniqueName="[Institute_ranking].[Score - Copy].[All]" allUniqueName="[Institute_ranking].[Score - Copy].[All]" dimensionUniqueName="[Institute_ranking]" displayFolder="" count="0" memberValueDatatype="130" unbalanced="0"/>
    <cacheHierarchy uniqueName="[Merge1].[Institute_ranking.Rank]" caption="Institute_ranking.Rank" attribute="1" defaultMemberUniqueName="[Merge1].[Institute_ranking.Rank].[All]" allUniqueName="[Merge1].[Institute_ranking.Rank].[All]" dimensionUniqueName="[Merge1]" displayFolder="" count="0" memberValueDatatype="20" unbalanced="0"/>
    <cacheHierarchy uniqueName="[Merge1].[Name]" caption="Name" attribute="1" defaultMemberUniqueName="[Merge1].[Name].[All]" allUniqueName="[Merge1].[Name].[All]" dimensionUniqueName="[Merge1]" displayFolder="" count="0" memberValueDatatype="130" unbalanced="0"/>
    <cacheHierarchy uniqueName="[Merge1].[Institute_ranking.Score]" caption="Institute_ranking.Score" attribute="1" defaultMemberUniqueName="[Merge1].[Institute_ranking.Score].[All]" allUniqueName="[Merge1].[Institute_ranking.Score].[All]" dimensionUniqueName="[Merge1]" displayFolder="" count="0" memberValueDatatype="5" unbalanced="0"/>
    <cacheHierarchy uniqueName="[Merge1].[Institute ID]" caption="Institute ID" attribute="1" defaultMemberUniqueName="[Merge1].[Institute ID].[All]" allUniqueName="[Merge1].[Institute ID].[All]" dimensionUniqueName="[Merge1]" displayFolder="" count="0" memberValueDatatype="130" unbalanced="0"/>
    <cacheHierarchy uniqueName="[Measures].[__XL_Count Institute_details]" caption="__XL_Count Institute_details" measure="1" displayFolder="" measureGroup="Institute_details" count="0" hidden="1"/>
    <cacheHierarchy uniqueName="[Measures].[__XL_Count Institute_location]" caption="__XL_Count Institute_location" measure="1" displayFolder="" measureGroup="Institute_location" count="0" hidden="1"/>
    <cacheHierarchy uniqueName="[Measures].[__XL_Count Institute_ranking]" caption="__XL_Count Institute_ranking" measure="1" displayFolder="" measureGroup="Institute_ranking" count="0" hidden="1"/>
    <cacheHierarchy uniqueName="[Measures].[__XL_Count Merge1]" caption="__XL_Count Merge1" measure="1" displayFolder="" measureGroup="Merge1" count="0" hidden="1"/>
    <cacheHierarchy uniqueName="[Measures].[__No measures defined]" caption="__No measures defined" measure="1" displayFolder="" count="0" hidden="1"/>
    <cacheHierarchy uniqueName="[Measures].[Sum of Rank]" caption="Sum of Rank" measure="1" displayFolder="" measureGroup="Institute_ranking" count="0" hidden="1">
      <extLst>
        <ext xmlns:x15="http://schemas.microsoft.com/office/spreadsheetml/2010/11/main" uri="{B97F6D7D-B522-45F9-BDA1-12C45D357490}">
          <x15:cacheHierarchy aggregatedColumn="7"/>
        </ext>
      </extLst>
    </cacheHierarchy>
    <cacheHierarchy uniqueName="[Measures].[Average of Rank]" caption="Average of Rank" measure="1" displayFolder="" measureGroup="Institute_ranking" count="0" hidden="1">
      <extLst>
        <ext xmlns:x15="http://schemas.microsoft.com/office/spreadsheetml/2010/11/main" uri="{B97F6D7D-B522-45F9-BDA1-12C45D357490}">
          <x15:cacheHierarchy aggregatedColumn="7"/>
        </ext>
      </extLst>
    </cacheHierarchy>
    <cacheHierarchy uniqueName="[Measures].[Sum of Score]" caption="Sum of Score" measure="1" displayFolder="" measureGroup="Institute_ranking" count="0" hidden="1">
      <extLst>
        <ext xmlns:x15="http://schemas.microsoft.com/office/spreadsheetml/2010/11/main" uri="{B97F6D7D-B522-45F9-BDA1-12C45D357490}">
          <x15:cacheHierarchy aggregatedColumn="6"/>
        </ext>
      </extLst>
    </cacheHierarchy>
    <cacheHierarchy uniqueName="[Measures].[Average of Score]" caption="Average of Score" measure="1" displayFolder="" measureGroup="Institute_ranking" count="0" oneField="1" hidden="1">
      <fieldsUsage count="1">
        <fieldUsage x="1"/>
      </fieldsUsage>
      <extLst>
        <ext xmlns:x15="http://schemas.microsoft.com/office/spreadsheetml/2010/11/main" uri="{B97F6D7D-B522-45F9-BDA1-12C45D357490}">
          <x15:cacheHierarchy aggregatedColumn="6"/>
        </ext>
      </extLst>
    </cacheHierarchy>
    <cacheHierarchy uniqueName="[Measures].[Count of Institute ID]" caption="Count of Institute ID" measure="1" displayFolder="" measureGroup="Institute_location" count="0" hidden="1">
      <extLst>
        <ext xmlns:x15="http://schemas.microsoft.com/office/spreadsheetml/2010/11/main" uri="{B97F6D7D-B522-45F9-BDA1-12C45D357490}">
          <x15:cacheHierarchy aggregatedColumn="2"/>
        </ext>
      </extLst>
    </cacheHierarchy>
    <cacheHierarchy uniqueName="[Measures].[Count of Institute ID 2]" caption="Count of Institute ID 2" measure="1" displayFolder="" measureGroup="Institute_details" count="0" hidden="1">
      <extLst>
        <ext xmlns:x15="http://schemas.microsoft.com/office/spreadsheetml/2010/11/main" uri="{B97F6D7D-B522-45F9-BDA1-12C45D357490}">
          <x15:cacheHierarchy aggregatedColumn="0"/>
        </ext>
      </extLst>
    </cacheHierarchy>
    <cacheHierarchy uniqueName="[Measures].[Count of Name]" caption="Count of Name" measure="1" displayFolder="" measureGroup="Institute_details" count="0" hidden="1">
      <extLst>
        <ext xmlns:x15="http://schemas.microsoft.com/office/spreadsheetml/2010/11/main" uri="{B97F6D7D-B522-45F9-BDA1-12C45D357490}">
          <x15:cacheHierarchy aggregatedColumn="1"/>
        </ext>
      </extLst>
    </cacheHierarchy>
    <cacheHierarchy uniqueName="[Measures].[Count of Rank - Copy]" caption="Count of Rank - Copy" measure="1" displayFolder="" measureGroup="Institute_ranking" count="0" hidden="1">
      <extLst>
        <ext xmlns:x15="http://schemas.microsoft.com/office/spreadsheetml/2010/11/main" uri="{B97F6D7D-B522-45F9-BDA1-12C45D357490}">
          <x15:cacheHierarchy aggregatedColumn="9"/>
        </ext>
      </extLst>
    </cacheHierarchy>
    <cacheHierarchy uniqueName="[Measures].[Distinct Count of Rank - Copy]" caption="Distinct Count of Rank - Copy" measure="1" displayFolder="" measureGroup="Institute_ranking" count="0" hidden="1">
      <extLst>
        <ext xmlns:x15="http://schemas.microsoft.com/office/spreadsheetml/2010/11/main" uri="{B97F6D7D-B522-45F9-BDA1-12C45D357490}">
          <x15:cacheHierarchy aggregatedColumn="9"/>
        </ext>
      </extLst>
    </cacheHierarchy>
    <cacheHierarchy uniqueName="[Measures].[Max of Score]" caption="Max of Score" measure="1" displayFolder="" measureGroup="Institute_ranking" count="0" hidden="1">
      <extLst>
        <ext xmlns:x15="http://schemas.microsoft.com/office/spreadsheetml/2010/11/main" uri="{B97F6D7D-B522-45F9-BDA1-12C45D357490}">
          <x15:cacheHierarchy aggregatedColumn="6"/>
        </ext>
      </extLst>
    </cacheHierarchy>
    <cacheHierarchy uniqueName="[Measures].[Distinct Count of Rank]" caption="Distinct Count of Rank" measure="1" displayFolder="" measureGroup="Institute_ranking" count="0" hidden="1">
      <extLst>
        <ext xmlns:x15="http://schemas.microsoft.com/office/spreadsheetml/2010/11/main" uri="{B97F6D7D-B522-45F9-BDA1-12C45D357490}">
          <x15:cacheHierarchy aggregatedColumn="7"/>
        </ext>
      </extLst>
    </cacheHierarchy>
    <cacheHierarchy uniqueName="[Measures].[Sum of Institute_ranking.Rank]" caption="Sum of Institute_ranking.Rank" measure="1" displayFolder="" measureGroup="Merge1" count="0" hidden="1">
      <extLst>
        <ext xmlns:x15="http://schemas.microsoft.com/office/spreadsheetml/2010/11/main" uri="{B97F6D7D-B522-45F9-BDA1-12C45D357490}">
          <x15:cacheHierarchy aggregatedColumn="11"/>
        </ext>
      </extLst>
    </cacheHierarchy>
    <cacheHierarchy uniqueName="[Measures].[Count of Name 2]" caption="Count of Name 2" measure="1" displayFolder="" measureGroup="Merge1" count="0" hidden="1">
      <extLst>
        <ext xmlns:x15="http://schemas.microsoft.com/office/spreadsheetml/2010/11/main" uri="{B97F6D7D-B522-45F9-BDA1-12C45D357490}">
          <x15:cacheHierarchy aggregatedColumn="12"/>
        </ext>
      </extLst>
    </cacheHierarchy>
  </cacheHierarchies>
  <kpis count="0"/>
  <dimensions count="5">
    <dimension name="Institute_details" uniqueName="[Institute_details]" caption="Institute_details"/>
    <dimension name="Institute_location" uniqueName="[Institute_location]" caption="Institute_location"/>
    <dimension name="Institute_ranking" uniqueName="[Institute_ranking]" caption="Institute_ranking"/>
    <dimension measure="1" name="Measures" uniqueName="[Measures]" caption="Measures"/>
    <dimension name="Merge1" uniqueName="[Merge1]" caption="Merge1"/>
  </dimensions>
  <measureGroups count="4">
    <measureGroup name="Institute_details" caption="Institute_details"/>
    <measureGroup name="Institute_location" caption="Institute_location"/>
    <measureGroup name="Institute_ranking" caption="Institute_ranking"/>
    <measureGroup name="Merge1" caption="Merge1"/>
  </measureGroups>
  <maps count="6">
    <map measureGroup="0" dimension="0"/>
    <map measureGroup="0" dimension="1"/>
    <map measureGroup="0" dimension="2"/>
    <map measureGroup="1" dimension="1"/>
    <map measureGroup="2" dimension="2"/>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ASWANTH" refreshedDate="45918.511488888886" createdVersion="5" refreshedVersion="8" minRefreshableVersion="3" recordCount="0" supportSubquery="1" supportAdvancedDrill="1" xr:uid="{2E61CA7D-FA2D-4A2F-8B3C-EE15ECF1EDB1}">
  <cacheSource type="external" connectionId="5"/>
  <cacheFields count="1">
    <cacheField name="[Measures].[Average of Rank]" caption="Average of Rank" numFmtId="0" hierarchy="21" level="32767"/>
  </cacheFields>
  <cacheHierarchies count="33">
    <cacheHierarchy uniqueName="[Institute_details].[Institute ID]" caption="Institute ID" attribute="1" defaultMemberUniqueName="[Institute_details].[Institute ID].[All]" allUniqueName="[Institute_details].[Institute ID].[All]" dimensionUniqueName="[Institute_details]" displayFolder="" count="0" memberValueDatatype="130" unbalanced="0"/>
    <cacheHierarchy uniqueName="[Institute_details].[Name]" caption="Name" attribute="1" defaultMemberUniqueName="[Institute_details].[Name].[All]" allUniqueName="[Institute_details].[Name].[All]" dimensionUniqueName="[Institute_details]" displayFolder="" count="0" memberValueDatatype="130" unbalanced="0"/>
    <cacheHierarchy uniqueName="[Institute_location].[Institute ID]" caption="Institute ID" attribute="1" defaultMemberUniqueName="[Institute_location].[Institute ID].[All]" allUniqueName="[Institute_location].[Institute ID].[All]" dimensionUniqueName="[Institute_location]" displayFolder="" count="0" memberValueDatatype="130" unbalanced="0"/>
    <cacheHierarchy uniqueName="[Institute_location].[City]" caption="City" attribute="1" defaultMemberUniqueName="[Institute_location].[City].[All]" allUniqueName="[Institute_location].[City].[All]" dimensionUniqueName="[Institute_location]" displayFolder="" count="0" memberValueDatatype="130" unbalanced="0"/>
    <cacheHierarchy uniqueName="[Institute_location].[State]" caption="State" attribute="1" defaultMemberUniqueName="[Institute_location].[State].[All]" allUniqueName="[Institute_location].[State].[All]" dimensionUniqueName="[Institute_location]" displayFolder="" count="0" memberValueDatatype="130" unbalanced="0"/>
    <cacheHierarchy uniqueName="[Institute_ranking].[Institute ID]" caption="Institute ID" attribute="1" defaultMemberUniqueName="[Institute_ranking].[Institute ID].[All]" allUniqueName="[Institute_ranking].[Institute ID].[All]" dimensionUniqueName="[Institute_ranking]" displayFolder="" count="0" memberValueDatatype="130" unbalanced="0"/>
    <cacheHierarchy uniqueName="[Institute_ranking].[Score]" caption="Score" attribute="1" defaultMemberUniqueName="[Institute_ranking].[Score].[All]" allUniqueName="[Institute_ranking].[Score].[All]" dimensionUniqueName="[Institute_ranking]" displayFolder="" count="0" memberValueDatatype="5" unbalanced="0"/>
    <cacheHierarchy uniqueName="[Institute_ranking].[Rank]" caption="Rank" attribute="1" defaultMemberUniqueName="[Institute_ranking].[Rank].[All]" allUniqueName="[Institute_ranking].[Rank].[All]" dimensionUniqueName="[Institute_ranking]" displayFolder="" count="0" memberValueDatatype="20" unbalanced="0"/>
    <cacheHierarchy uniqueName="[Institute_ranking].[Grade]" caption="Grade" attribute="1" defaultMemberUniqueName="[Institute_ranking].[Grade].[All]" allUniqueName="[Institute_ranking].[Grade].[All]" dimensionUniqueName="[Institute_ranking]" displayFolder="" count="0" memberValueDatatype="130" unbalanced="0"/>
    <cacheHierarchy uniqueName="[Institute_ranking].[Rank - Copy]" caption="Rank - Copy" attribute="1" defaultMemberUniqueName="[Institute_ranking].[Rank - Copy].[All]" allUniqueName="[Institute_ranking].[Rank - Copy].[All]" dimensionUniqueName="[Institute_ranking]" displayFolder="" count="0" memberValueDatatype="130" unbalanced="0"/>
    <cacheHierarchy uniqueName="[Institute_ranking].[Score - Copy]" caption="Score - Copy" attribute="1" defaultMemberUniqueName="[Institute_ranking].[Score - Copy].[All]" allUniqueName="[Institute_ranking].[Score - Copy].[All]" dimensionUniqueName="[Institute_ranking]" displayFolder="" count="0" memberValueDatatype="130" unbalanced="0"/>
    <cacheHierarchy uniqueName="[Merge1].[Institute_ranking.Rank]" caption="Institute_ranking.Rank" attribute="1" defaultMemberUniqueName="[Merge1].[Institute_ranking.Rank].[All]" allUniqueName="[Merge1].[Institute_ranking.Rank].[All]" dimensionUniqueName="[Merge1]" displayFolder="" count="0" memberValueDatatype="20" unbalanced="0"/>
    <cacheHierarchy uniqueName="[Merge1].[Name]" caption="Name" attribute="1" defaultMemberUniqueName="[Merge1].[Name].[All]" allUniqueName="[Merge1].[Name].[All]" dimensionUniqueName="[Merge1]" displayFolder="" count="0" memberValueDatatype="130" unbalanced="0"/>
    <cacheHierarchy uniqueName="[Merge1].[Institute_ranking.Score]" caption="Institute_ranking.Score" attribute="1" defaultMemberUniqueName="[Merge1].[Institute_ranking.Score].[All]" allUniqueName="[Merge1].[Institute_ranking.Score].[All]" dimensionUniqueName="[Merge1]" displayFolder="" count="0" memberValueDatatype="5" unbalanced="0"/>
    <cacheHierarchy uniqueName="[Merge1].[Institute ID]" caption="Institute ID" attribute="1" defaultMemberUniqueName="[Merge1].[Institute ID].[All]" allUniqueName="[Merge1].[Institute ID].[All]" dimensionUniqueName="[Merge1]" displayFolder="" count="0" memberValueDatatype="130" unbalanced="0"/>
    <cacheHierarchy uniqueName="[Measures].[__XL_Count Institute_details]" caption="__XL_Count Institute_details" measure="1" displayFolder="" measureGroup="Institute_details" count="0" hidden="1"/>
    <cacheHierarchy uniqueName="[Measures].[__XL_Count Institute_location]" caption="__XL_Count Institute_location" measure="1" displayFolder="" measureGroup="Institute_location" count="0" hidden="1"/>
    <cacheHierarchy uniqueName="[Measures].[__XL_Count Institute_ranking]" caption="__XL_Count Institute_ranking" measure="1" displayFolder="" measureGroup="Institute_ranking" count="0" hidden="1"/>
    <cacheHierarchy uniqueName="[Measures].[__XL_Count Merge1]" caption="__XL_Count Merge1" measure="1" displayFolder="" measureGroup="Merge1" count="0" hidden="1"/>
    <cacheHierarchy uniqueName="[Measures].[__No measures defined]" caption="__No measures defined" measure="1" displayFolder="" count="0" hidden="1"/>
    <cacheHierarchy uniqueName="[Measures].[Sum of Rank]" caption="Sum of Rank" measure="1" displayFolder="" measureGroup="Institute_ranking" count="0" hidden="1">
      <extLst>
        <ext xmlns:x15="http://schemas.microsoft.com/office/spreadsheetml/2010/11/main" uri="{B97F6D7D-B522-45F9-BDA1-12C45D357490}">
          <x15:cacheHierarchy aggregatedColumn="7"/>
        </ext>
      </extLst>
    </cacheHierarchy>
    <cacheHierarchy uniqueName="[Measures].[Average of Rank]" caption="Average of Rank" measure="1" displayFolder="" measureGroup="Institute_ranking" count="0" oneField="1" hidden="1">
      <fieldsUsage count="1">
        <fieldUsage x="0"/>
      </fieldsUsage>
      <extLst>
        <ext xmlns:x15="http://schemas.microsoft.com/office/spreadsheetml/2010/11/main" uri="{B97F6D7D-B522-45F9-BDA1-12C45D357490}">
          <x15:cacheHierarchy aggregatedColumn="7"/>
        </ext>
      </extLst>
    </cacheHierarchy>
    <cacheHierarchy uniqueName="[Measures].[Sum of Score]" caption="Sum of Score" measure="1" displayFolder="" measureGroup="Institute_ranking" count="0" hidden="1">
      <extLst>
        <ext xmlns:x15="http://schemas.microsoft.com/office/spreadsheetml/2010/11/main" uri="{B97F6D7D-B522-45F9-BDA1-12C45D357490}">
          <x15:cacheHierarchy aggregatedColumn="6"/>
        </ext>
      </extLst>
    </cacheHierarchy>
    <cacheHierarchy uniqueName="[Measures].[Average of Score]" caption="Average of Score" measure="1" displayFolder="" measureGroup="Institute_ranking" count="0" hidden="1">
      <extLst>
        <ext xmlns:x15="http://schemas.microsoft.com/office/spreadsheetml/2010/11/main" uri="{B97F6D7D-B522-45F9-BDA1-12C45D357490}">
          <x15:cacheHierarchy aggregatedColumn="6"/>
        </ext>
      </extLst>
    </cacheHierarchy>
    <cacheHierarchy uniqueName="[Measures].[Count of Institute ID]" caption="Count of Institute ID" measure="1" displayFolder="" measureGroup="Institute_location" count="0" hidden="1">
      <extLst>
        <ext xmlns:x15="http://schemas.microsoft.com/office/spreadsheetml/2010/11/main" uri="{B97F6D7D-B522-45F9-BDA1-12C45D357490}">
          <x15:cacheHierarchy aggregatedColumn="2"/>
        </ext>
      </extLst>
    </cacheHierarchy>
    <cacheHierarchy uniqueName="[Measures].[Count of Institute ID 2]" caption="Count of Institute ID 2" measure="1" displayFolder="" measureGroup="Institute_details" count="0" hidden="1">
      <extLst>
        <ext xmlns:x15="http://schemas.microsoft.com/office/spreadsheetml/2010/11/main" uri="{B97F6D7D-B522-45F9-BDA1-12C45D357490}">
          <x15:cacheHierarchy aggregatedColumn="0"/>
        </ext>
      </extLst>
    </cacheHierarchy>
    <cacheHierarchy uniqueName="[Measures].[Count of Name]" caption="Count of Name" measure="1" displayFolder="" measureGroup="Institute_details" count="0" hidden="1">
      <extLst>
        <ext xmlns:x15="http://schemas.microsoft.com/office/spreadsheetml/2010/11/main" uri="{B97F6D7D-B522-45F9-BDA1-12C45D357490}">
          <x15:cacheHierarchy aggregatedColumn="1"/>
        </ext>
      </extLst>
    </cacheHierarchy>
    <cacheHierarchy uniqueName="[Measures].[Count of Rank - Copy]" caption="Count of Rank - Copy" measure="1" displayFolder="" measureGroup="Institute_ranking" count="0" hidden="1">
      <extLst>
        <ext xmlns:x15="http://schemas.microsoft.com/office/spreadsheetml/2010/11/main" uri="{B97F6D7D-B522-45F9-BDA1-12C45D357490}">
          <x15:cacheHierarchy aggregatedColumn="9"/>
        </ext>
      </extLst>
    </cacheHierarchy>
    <cacheHierarchy uniqueName="[Measures].[Distinct Count of Rank - Copy]" caption="Distinct Count of Rank - Copy" measure="1" displayFolder="" measureGroup="Institute_ranking" count="0" hidden="1">
      <extLst>
        <ext xmlns:x15="http://schemas.microsoft.com/office/spreadsheetml/2010/11/main" uri="{B97F6D7D-B522-45F9-BDA1-12C45D357490}">
          <x15:cacheHierarchy aggregatedColumn="9"/>
        </ext>
      </extLst>
    </cacheHierarchy>
    <cacheHierarchy uniqueName="[Measures].[Max of Score]" caption="Max of Score" measure="1" displayFolder="" measureGroup="Institute_ranking" count="0" hidden="1">
      <extLst>
        <ext xmlns:x15="http://schemas.microsoft.com/office/spreadsheetml/2010/11/main" uri="{B97F6D7D-B522-45F9-BDA1-12C45D357490}">
          <x15:cacheHierarchy aggregatedColumn="6"/>
        </ext>
      </extLst>
    </cacheHierarchy>
    <cacheHierarchy uniqueName="[Measures].[Distinct Count of Rank]" caption="Distinct Count of Rank" measure="1" displayFolder="" measureGroup="Institute_ranking" count="0" hidden="1">
      <extLst>
        <ext xmlns:x15="http://schemas.microsoft.com/office/spreadsheetml/2010/11/main" uri="{B97F6D7D-B522-45F9-BDA1-12C45D357490}">
          <x15:cacheHierarchy aggregatedColumn="7"/>
        </ext>
      </extLst>
    </cacheHierarchy>
    <cacheHierarchy uniqueName="[Measures].[Sum of Institute_ranking.Rank]" caption="Sum of Institute_ranking.Rank" measure="1" displayFolder="" measureGroup="Merge1" count="0" hidden="1">
      <extLst>
        <ext xmlns:x15="http://schemas.microsoft.com/office/spreadsheetml/2010/11/main" uri="{B97F6D7D-B522-45F9-BDA1-12C45D357490}">
          <x15:cacheHierarchy aggregatedColumn="11"/>
        </ext>
      </extLst>
    </cacheHierarchy>
    <cacheHierarchy uniqueName="[Measures].[Count of Name 2]" caption="Count of Name 2" measure="1" displayFolder="" measureGroup="Merge1" count="0" hidden="1">
      <extLst>
        <ext xmlns:x15="http://schemas.microsoft.com/office/spreadsheetml/2010/11/main" uri="{B97F6D7D-B522-45F9-BDA1-12C45D357490}">
          <x15:cacheHierarchy aggregatedColumn="12"/>
        </ext>
      </extLst>
    </cacheHierarchy>
  </cacheHierarchies>
  <kpis count="0"/>
  <dimensions count="5">
    <dimension name="Institute_details" uniqueName="[Institute_details]" caption="Institute_details"/>
    <dimension name="Institute_location" uniqueName="[Institute_location]" caption="Institute_location"/>
    <dimension name="Institute_ranking" uniqueName="[Institute_ranking]" caption="Institute_ranking"/>
    <dimension measure="1" name="Measures" uniqueName="[Measures]" caption="Measures"/>
    <dimension name="Merge1" uniqueName="[Merge1]" caption="Merge1"/>
  </dimensions>
  <measureGroups count="4">
    <measureGroup name="Institute_details" caption="Institute_details"/>
    <measureGroup name="Institute_location" caption="Institute_location"/>
    <measureGroup name="Institute_ranking" caption="Institute_ranking"/>
    <measureGroup name="Merge1" caption="Merge1"/>
  </measureGroups>
  <maps count="6">
    <map measureGroup="0" dimension="0"/>
    <map measureGroup="0" dimension="1"/>
    <map measureGroup="0" dimension="2"/>
    <map measureGroup="1" dimension="1"/>
    <map measureGroup="2" dimension="2"/>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ASWANTH" refreshedDate="45918.510852314816" createdVersion="5" refreshedVersion="8" minRefreshableVersion="3" recordCount="0" supportSubquery="1" supportAdvancedDrill="1" xr:uid="{4333ED30-79C3-4E45-A756-33C2577EE0BF}">
  <cacheSource type="external" connectionId="5"/>
  <cacheFields count="1">
    <cacheField name="[Measures].[Average of Score]" caption="Average of Score" numFmtId="0" hierarchy="23" level="32767"/>
  </cacheFields>
  <cacheHierarchies count="33">
    <cacheHierarchy uniqueName="[Institute_details].[Institute ID]" caption="Institute ID" attribute="1" defaultMemberUniqueName="[Institute_details].[Institute ID].[All]" allUniqueName="[Institute_details].[Institute ID].[All]" dimensionUniqueName="[Institute_details]" displayFolder="" count="0" memberValueDatatype="130" unbalanced="0"/>
    <cacheHierarchy uniqueName="[Institute_details].[Name]" caption="Name" attribute="1" defaultMemberUniqueName="[Institute_details].[Name].[All]" allUniqueName="[Institute_details].[Name].[All]" dimensionUniqueName="[Institute_details]" displayFolder="" count="0" memberValueDatatype="130" unbalanced="0"/>
    <cacheHierarchy uniqueName="[Institute_location].[Institute ID]" caption="Institute ID" attribute="1" defaultMemberUniqueName="[Institute_location].[Institute ID].[All]" allUniqueName="[Institute_location].[Institute ID].[All]" dimensionUniqueName="[Institute_location]" displayFolder="" count="0" memberValueDatatype="130" unbalanced="0"/>
    <cacheHierarchy uniqueName="[Institute_location].[City]" caption="City" attribute="1" defaultMemberUniqueName="[Institute_location].[City].[All]" allUniqueName="[Institute_location].[City].[All]" dimensionUniqueName="[Institute_location]" displayFolder="" count="0" memberValueDatatype="130" unbalanced="0"/>
    <cacheHierarchy uniqueName="[Institute_location].[State]" caption="State" attribute="1" defaultMemberUniqueName="[Institute_location].[State].[All]" allUniqueName="[Institute_location].[State].[All]" dimensionUniqueName="[Institute_location]" displayFolder="" count="0" memberValueDatatype="130" unbalanced="0"/>
    <cacheHierarchy uniqueName="[Institute_ranking].[Institute ID]" caption="Institute ID" attribute="1" defaultMemberUniqueName="[Institute_ranking].[Institute ID].[All]" allUniqueName="[Institute_ranking].[Institute ID].[All]" dimensionUniqueName="[Institute_ranking]" displayFolder="" count="0" memberValueDatatype="130" unbalanced="0"/>
    <cacheHierarchy uniqueName="[Institute_ranking].[Score]" caption="Score" attribute="1" defaultMemberUniqueName="[Institute_ranking].[Score].[All]" allUniqueName="[Institute_ranking].[Score].[All]" dimensionUniqueName="[Institute_ranking]" displayFolder="" count="0" memberValueDatatype="5" unbalanced="0"/>
    <cacheHierarchy uniqueName="[Institute_ranking].[Rank]" caption="Rank" attribute="1" defaultMemberUniqueName="[Institute_ranking].[Rank].[All]" allUniqueName="[Institute_ranking].[Rank].[All]" dimensionUniqueName="[Institute_ranking]" displayFolder="" count="0" memberValueDatatype="20" unbalanced="0"/>
    <cacheHierarchy uniqueName="[Institute_ranking].[Grade]" caption="Grade" attribute="1" defaultMemberUniqueName="[Institute_ranking].[Grade].[All]" allUniqueName="[Institute_ranking].[Grade].[All]" dimensionUniqueName="[Institute_ranking]" displayFolder="" count="0" memberValueDatatype="130" unbalanced="0"/>
    <cacheHierarchy uniqueName="[Institute_ranking].[Rank - Copy]" caption="Rank - Copy" attribute="1" defaultMemberUniqueName="[Institute_ranking].[Rank - Copy].[All]" allUniqueName="[Institute_ranking].[Rank - Copy].[All]" dimensionUniqueName="[Institute_ranking]" displayFolder="" count="0" memberValueDatatype="130" unbalanced="0"/>
    <cacheHierarchy uniqueName="[Institute_ranking].[Score - Copy]" caption="Score - Copy" attribute="1" defaultMemberUniqueName="[Institute_ranking].[Score - Copy].[All]" allUniqueName="[Institute_ranking].[Score - Copy].[All]" dimensionUniqueName="[Institute_ranking]" displayFolder="" count="0" memberValueDatatype="130" unbalanced="0"/>
    <cacheHierarchy uniqueName="[Merge1].[Institute_ranking.Rank]" caption="Institute_ranking.Rank" attribute="1" defaultMemberUniqueName="[Merge1].[Institute_ranking.Rank].[All]" allUniqueName="[Merge1].[Institute_ranking.Rank].[All]" dimensionUniqueName="[Merge1]" displayFolder="" count="0" memberValueDatatype="20" unbalanced="0"/>
    <cacheHierarchy uniqueName="[Merge1].[Name]" caption="Name" attribute="1" defaultMemberUniqueName="[Merge1].[Name].[All]" allUniqueName="[Merge1].[Name].[All]" dimensionUniqueName="[Merge1]" displayFolder="" count="0" memberValueDatatype="130" unbalanced="0"/>
    <cacheHierarchy uniqueName="[Merge1].[Institute_ranking.Score]" caption="Institute_ranking.Score" attribute="1" defaultMemberUniqueName="[Merge1].[Institute_ranking.Score].[All]" allUniqueName="[Merge1].[Institute_ranking.Score].[All]" dimensionUniqueName="[Merge1]" displayFolder="" count="0" memberValueDatatype="5" unbalanced="0"/>
    <cacheHierarchy uniqueName="[Merge1].[Institute ID]" caption="Institute ID" attribute="1" defaultMemberUniqueName="[Merge1].[Institute ID].[All]" allUniqueName="[Merge1].[Institute ID].[All]" dimensionUniqueName="[Merge1]" displayFolder="" count="0" memberValueDatatype="130" unbalanced="0"/>
    <cacheHierarchy uniqueName="[Measures].[__XL_Count Institute_details]" caption="__XL_Count Institute_details" measure="1" displayFolder="" measureGroup="Institute_details" count="0" hidden="1"/>
    <cacheHierarchy uniqueName="[Measures].[__XL_Count Institute_location]" caption="__XL_Count Institute_location" measure="1" displayFolder="" measureGroup="Institute_location" count="0" hidden="1"/>
    <cacheHierarchy uniqueName="[Measures].[__XL_Count Institute_ranking]" caption="__XL_Count Institute_ranking" measure="1" displayFolder="" measureGroup="Institute_ranking" count="0" hidden="1"/>
    <cacheHierarchy uniqueName="[Measures].[__XL_Count Merge1]" caption="__XL_Count Merge1" measure="1" displayFolder="" measureGroup="Merge1" count="0" hidden="1"/>
    <cacheHierarchy uniqueName="[Measures].[__No measures defined]" caption="__No measures defined" measure="1" displayFolder="" count="0" hidden="1"/>
    <cacheHierarchy uniqueName="[Measures].[Sum of Rank]" caption="Sum of Rank" measure="1" displayFolder="" measureGroup="Institute_ranking" count="0" hidden="1">
      <extLst>
        <ext xmlns:x15="http://schemas.microsoft.com/office/spreadsheetml/2010/11/main" uri="{B97F6D7D-B522-45F9-BDA1-12C45D357490}">
          <x15:cacheHierarchy aggregatedColumn="7"/>
        </ext>
      </extLst>
    </cacheHierarchy>
    <cacheHierarchy uniqueName="[Measures].[Average of Rank]" caption="Average of Rank" measure="1" displayFolder="" measureGroup="Institute_ranking" count="0" hidden="1">
      <extLst>
        <ext xmlns:x15="http://schemas.microsoft.com/office/spreadsheetml/2010/11/main" uri="{B97F6D7D-B522-45F9-BDA1-12C45D357490}">
          <x15:cacheHierarchy aggregatedColumn="7"/>
        </ext>
      </extLst>
    </cacheHierarchy>
    <cacheHierarchy uniqueName="[Measures].[Sum of Score]" caption="Sum of Score" measure="1" displayFolder="" measureGroup="Institute_ranking" count="0" hidden="1">
      <extLst>
        <ext xmlns:x15="http://schemas.microsoft.com/office/spreadsheetml/2010/11/main" uri="{B97F6D7D-B522-45F9-BDA1-12C45D357490}">
          <x15:cacheHierarchy aggregatedColumn="6"/>
        </ext>
      </extLst>
    </cacheHierarchy>
    <cacheHierarchy uniqueName="[Measures].[Average of Score]" caption="Average of Score" measure="1" displayFolder="" measureGroup="Institute_ranking" count="0" oneField="1" hidden="1">
      <fieldsUsage count="1">
        <fieldUsage x="0"/>
      </fieldsUsage>
      <extLst>
        <ext xmlns:x15="http://schemas.microsoft.com/office/spreadsheetml/2010/11/main" uri="{B97F6D7D-B522-45F9-BDA1-12C45D357490}">
          <x15:cacheHierarchy aggregatedColumn="6"/>
        </ext>
      </extLst>
    </cacheHierarchy>
    <cacheHierarchy uniqueName="[Measures].[Count of Institute ID]" caption="Count of Institute ID" measure="1" displayFolder="" measureGroup="Institute_location" count="0" hidden="1">
      <extLst>
        <ext xmlns:x15="http://schemas.microsoft.com/office/spreadsheetml/2010/11/main" uri="{B97F6D7D-B522-45F9-BDA1-12C45D357490}">
          <x15:cacheHierarchy aggregatedColumn="2"/>
        </ext>
      </extLst>
    </cacheHierarchy>
    <cacheHierarchy uniqueName="[Measures].[Count of Institute ID 2]" caption="Count of Institute ID 2" measure="1" displayFolder="" measureGroup="Institute_details" count="0" hidden="1">
      <extLst>
        <ext xmlns:x15="http://schemas.microsoft.com/office/spreadsheetml/2010/11/main" uri="{B97F6D7D-B522-45F9-BDA1-12C45D357490}">
          <x15:cacheHierarchy aggregatedColumn="0"/>
        </ext>
      </extLst>
    </cacheHierarchy>
    <cacheHierarchy uniqueName="[Measures].[Count of Name]" caption="Count of Name" measure="1" displayFolder="" measureGroup="Institute_details" count="0" hidden="1">
      <extLst>
        <ext xmlns:x15="http://schemas.microsoft.com/office/spreadsheetml/2010/11/main" uri="{B97F6D7D-B522-45F9-BDA1-12C45D357490}">
          <x15:cacheHierarchy aggregatedColumn="1"/>
        </ext>
      </extLst>
    </cacheHierarchy>
    <cacheHierarchy uniqueName="[Measures].[Count of Rank - Copy]" caption="Count of Rank - Copy" measure="1" displayFolder="" measureGroup="Institute_ranking" count="0" hidden="1">
      <extLst>
        <ext xmlns:x15="http://schemas.microsoft.com/office/spreadsheetml/2010/11/main" uri="{B97F6D7D-B522-45F9-BDA1-12C45D357490}">
          <x15:cacheHierarchy aggregatedColumn="9"/>
        </ext>
      </extLst>
    </cacheHierarchy>
    <cacheHierarchy uniqueName="[Measures].[Distinct Count of Rank - Copy]" caption="Distinct Count of Rank - Copy" measure="1" displayFolder="" measureGroup="Institute_ranking" count="0" hidden="1">
      <extLst>
        <ext xmlns:x15="http://schemas.microsoft.com/office/spreadsheetml/2010/11/main" uri="{B97F6D7D-B522-45F9-BDA1-12C45D357490}">
          <x15:cacheHierarchy aggregatedColumn="9"/>
        </ext>
      </extLst>
    </cacheHierarchy>
    <cacheHierarchy uniqueName="[Measures].[Max of Score]" caption="Max of Score" measure="1" displayFolder="" measureGroup="Institute_ranking" count="0" hidden="1">
      <extLst>
        <ext xmlns:x15="http://schemas.microsoft.com/office/spreadsheetml/2010/11/main" uri="{B97F6D7D-B522-45F9-BDA1-12C45D357490}">
          <x15:cacheHierarchy aggregatedColumn="6"/>
        </ext>
      </extLst>
    </cacheHierarchy>
    <cacheHierarchy uniqueName="[Measures].[Distinct Count of Rank]" caption="Distinct Count of Rank" measure="1" displayFolder="" measureGroup="Institute_ranking" count="0" hidden="1">
      <extLst>
        <ext xmlns:x15="http://schemas.microsoft.com/office/spreadsheetml/2010/11/main" uri="{B97F6D7D-B522-45F9-BDA1-12C45D357490}">
          <x15:cacheHierarchy aggregatedColumn="7"/>
        </ext>
      </extLst>
    </cacheHierarchy>
    <cacheHierarchy uniqueName="[Measures].[Sum of Institute_ranking.Rank]" caption="Sum of Institute_ranking.Rank" measure="1" displayFolder="" measureGroup="Merge1" count="0" hidden="1">
      <extLst>
        <ext xmlns:x15="http://schemas.microsoft.com/office/spreadsheetml/2010/11/main" uri="{B97F6D7D-B522-45F9-BDA1-12C45D357490}">
          <x15:cacheHierarchy aggregatedColumn="11"/>
        </ext>
      </extLst>
    </cacheHierarchy>
    <cacheHierarchy uniqueName="[Measures].[Count of Name 2]" caption="Count of Name 2" measure="1" displayFolder="" measureGroup="Merge1" count="0" hidden="1">
      <extLst>
        <ext xmlns:x15="http://schemas.microsoft.com/office/spreadsheetml/2010/11/main" uri="{B97F6D7D-B522-45F9-BDA1-12C45D357490}">
          <x15:cacheHierarchy aggregatedColumn="12"/>
        </ext>
      </extLst>
    </cacheHierarchy>
  </cacheHierarchies>
  <kpis count="0"/>
  <dimensions count="5">
    <dimension name="Institute_details" uniqueName="[Institute_details]" caption="Institute_details"/>
    <dimension name="Institute_location" uniqueName="[Institute_location]" caption="Institute_location"/>
    <dimension name="Institute_ranking" uniqueName="[Institute_ranking]" caption="Institute_ranking"/>
    <dimension measure="1" name="Measures" uniqueName="[Measures]" caption="Measures"/>
    <dimension name="Merge1" uniqueName="[Merge1]" caption="Merge1"/>
  </dimensions>
  <measureGroups count="4">
    <measureGroup name="Institute_details" caption="Institute_details"/>
    <measureGroup name="Institute_location" caption="Institute_location"/>
    <measureGroup name="Institute_ranking" caption="Institute_ranking"/>
    <measureGroup name="Merge1" caption="Merge1"/>
  </measureGroups>
  <maps count="6">
    <map measureGroup="0" dimension="0"/>
    <map measureGroup="0" dimension="1"/>
    <map measureGroup="0" dimension="2"/>
    <map measureGroup="1" dimension="1"/>
    <map measureGroup="2" dimension="2"/>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ASWANTH" refreshedDate="45918.508186805557" createdVersion="5" refreshedVersion="8" minRefreshableVersion="3" recordCount="0" supportSubquery="1" supportAdvancedDrill="1" xr:uid="{6BDE087F-0D70-4FD2-863D-469AAD1C7707}">
  <cacheSource type="external" connectionId="5"/>
  <cacheFields count="1">
    <cacheField name="[Measures].[Count of Institute ID 2]" caption="Count of Institute ID 2" numFmtId="0" hierarchy="25" level="32767"/>
  </cacheFields>
  <cacheHierarchies count="33">
    <cacheHierarchy uniqueName="[Institute_details].[Institute ID]" caption="Institute ID" attribute="1" defaultMemberUniqueName="[Institute_details].[Institute ID].[All]" allUniqueName="[Institute_details].[Institute ID].[All]" dimensionUniqueName="[Institute_details]" displayFolder="" count="0" memberValueDatatype="130" unbalanced="0"/>
    <cacheHierarchy uniqueName="[Institute_details].[Name]" caption="Name" attribute="1" defaultMemberUniqueName="[Institute_details].[Name].[All]" allUniqueName="[Institute_details].[Name].[All]" dimensionUniqueName="[Institute_details]" displayFolder="" count="0" memberValueDatatype="130" unbalanced="0"/>
    <cacheHierarchy uniqueName="[Institute_location].[Institute ID]" caption="Institute ID" attribute="1" defaultMemberUniqueName="[Institute_location].[Institute ID].[All]" allUniqueName="[Institute_location].[Institute ID].[All]" dimensionUniqueName="[Institute_location]" displayFolder="" count="0" memberValueDatatype="130" unbalanced="0"/>
    <cacheHierarchy uniqueName="[Institute_location].[City]" caption="City" attribute="1" defaultMemberUniqueName="[Institute_location].[City].[All]" allUniqueName="[Institute_location].[City].[All]" dimensionUniqueName="[Institute_location]" displayFolder="" count="0" memberValueDatatype="130" unbalanced="0"/>
    <cacheHierarchy uniqueName="[Institute_location].[State]" caption="State" attribute="1" defaultMemberUniqueName="[Institute_location].[State].[All]" allUniqueName="[Institute_location].[State].[All]" dimensionUniqueName="[Institute_location]" displayFolder="" count="0" memberValueDatatype="130" unbalanced="0"/>
    <cacheHierarchy uniqueName="[Institute_ranking].[Institute ID]" caption="Institute ID" attribute="1" defaultMemberUniqueName="[Institute_ranking].[Institute ID].[All]" allUniqueName="[Institute_ranking].[Institute ID].[All]" dimensionUniqueName="[Institute_ranking]" displayFolder="" count="0" memberValueDatatype="130" unbalanced="0"/>
    <cacheHierarchy uniqueName="[Institute_ranking].[Score]" caption="Score" attribute="1" defaultMemberUniqueName="[Institute_ranking].[Score].[All]" allUniqueName="[Institute_ranking].[Score].[All]" dimensionUniqueName="[Institute_ranking]" displayFolder="" count="0" memberValueDatatype="5" unbalanced="0"/>
    <cacheHierarchy uniqueName="[Institute_ranking].[Rank]" caption="Rank" attribute="1" defaultMemberUniqueName="[Institute_ranking].[Rank].[All]" allUniqueName="[Institute_ranking].[Rank].[All]" dimensionUniqueName="[Institute_ranking]" displayFolder="" count="0" memberValueDatatype="20" unbalanced="0"/>
    <cacheHierarchy uniqueName="[Institute_ranking].[Grade]" caption="Grade" attribute="1" defaultMemberUniqueName="[Institute_ranking].[Grade].[All]" allUniqueName="[Institute_ranking].[Grade].[All]" dimensionUniqueName="[Institute_ranking]" displayFolder="" count="0" memberValueDatatype="130" unbalanced="0"/>
    <cacheHierarchy uniqueName="[Institute_ranking].[Rank - Copy]" caption="Rank - Copy" attribute="1" defaultMemberUniqueName="[Institute_ranking].[Rank - Copy].[All]" allUniqueName="[Institute_ranking].[Rank - Copy].[All]" dimensionUniqueName="[Institute_ranking]" displayFolder="" count="0" memberValueDatatype="130" unbalanced="0"/>
    <cacheHierarchy uniqueName="[Institute_ranking].[Score - Copy]" caption="Score - Copy" attribute="1" defaultMemberUniqueName="[Institute_ranking].[Score - Copy].[All]" allUniqueName="[Institute_ranking].[Score - Copy].[All]" dimensionUniqueName="[Institute_ranking]" displayFolder="" count="0" memberValueDatatype="130" unbalanced="0"/>
    <cacheHierarchy uniqueName="[Merge1].[Institute_ranking.Rank]" caption="Institute_ranking.Rank" attribute="1" defaultMemberUniqueName="[Merge1].[Institute_ranking.Rank].[All]" allUniqueName="[Merge1].[Institute_ranking.Rank].[All]" dimensionUniqueName="[Merge1]" displayFolder="" count="0" memberValueDatatype="20" unbalanced="0"/>
    <cacheHierarchy uniqueName="[Merge1].[Name]" caption="Name" attribute="1" defaultMemberUniqueName="[Merge1].[Name].[All]" allUniqueName="[Merge1].[Name].[All]" dimensionUniqueName="[Merge1]" displayFolder="" count="0" memberValueDatatype="130" unbalanced="0"/>
    <cacheHierarchy uniqueName="[Merge1].[Institute_ranking.Score]" caption="Institute_ranking.Score" attribute="1" defaultMemberUniqueName="[Merge1].[Institute_ranking.Score].[All]" allUniqueName="[Merge1].[Institute_ranking.Score].[All]" dimensionUniqueName="[Merge1]" displayFolder="" count="0" memberValueDatatype="5" unbalanced="0"/>
    <cacheHierarchy uniqueName="[Merge1].[Institute ID]" caption="Institute ID" attribute="1" defaultMemberUniqueName="[Merge1].[Institute ID].[All]" allUniqueName="[Merge1].[Institute ID].[All]" dimensionUniqueName="[Merge1]" displayFolder="" count="0" memberValueDatatype="130" unbalanced="0"/>
    <cacheHierarchy uniqueName="[Measures].[__XL_Count Institute_details]" caption="__XL_Count Institute_details" measure="1" displayFolder="" measureGroup="Institute_details" count="0" hidden="1"/>
    <cacheHierarchy uniqueName="[Measures].[__XL_Count Institute_location]" caption="__XL_Count Institute_location" measure="1" displayFolder="" measureGroup="Institute_location" count="0" hidden="1"/>
    <cacheHierarchy uniqueName="[Measures].[__XL_Count Institute_ranking]" caption="__XL_Count Institute_ranking" measure="1" displayFolder="" measureGroup="Institute_ranking" count="0" hidden="1"/>
    <cacheHierarchy uniqueName="[Measures].[__XL_Count Merge1]" caption="__XL_Count Merge1" measure="1" displayFolder="" measureGroup="Merge1" count="0" hidden="1"/>
    <cacheHierarchy uniqueName="[Measures].[__No measures defined]" caption="__No measures defined" measure="1" displayFolder="" count="0" hidden="1"/>
    <cacheHierarchy uniqueName="[Measures].[Sum of Rank]" caption="Sum of Rank" measure="1" displayFolder="" measureGroup="Institute_ranking" count="0" hidden="1">
      <extLst>
        <ext xmlns:x15="http://schemas.microsoft.com/office/spreadsheetml/2010/11/main" uri="{B97F6D7D-B522-45F9-BDA1-12C45D357490}">
          <x15:cacheHierarchy aggregatedColumn="7"/>
        </ext>
      </extLst>
    </cacheHierarchy>
    <cacheHierarchy uniqueName="[Measures].[Average of Rank]" caption="Average of Rank" measure="1" displayFolder="" measureGroup="Institute_ranking" count="0" hidden="1">
      <extLst>
        <ext xmlns:x15="http://schemas.microsoft.com/office/spreadsheetml/2010/11/main" uri="{B97F6D7D-B522-45F9-BDA1-12C45D357490}">
          <x15:cacheHierarchy aggregatedColumn="7"/>
        </ext>
      </extLst>
    </cacheHierarchy>
    <cacheHierarchy uniqueName="[Measures].[Sum of Score]" caption="Sum of Score" measure="1" displayFolder="" measureGroup="Institute_ranking" count="0" hidden="1">
      <extLst>
        <ext xmlns:x15="http://schemas.microsoft.com/office/spreadsheetml/2010/11/main" uri="{B97F6D7D-B522-45F9-BDA1-12C45D357490}">
          <x15:cacheHierarchy aggregatedColumn="6"/>
        </ext>
      </extLst>
    </cacheHierarchy>
    <cacheHierarchy uniqueName="[Measures].[Average of Score]" caption="Average of Score" measure="1" displayFolder="" measureGroup="Institute_ranking" count="0" hidden="1">
      <extLst>
        <ext xmlns:x15="http://schemas.microsoft.com/office/spreadsheetml/2010/11/main" uri="{B97F6D7D-B522-45F9-BDA1-12C45D357490}">
          <x15:cacheHierarchy aggregatedColumn="6"/>
        </ext>
      </extLst>
    </cacheHierarchy>
    <cacheHierarchy uniqueName="[Measures].[Count of Institute ID]" caption="Count of Institute ID" measure="1" displayFolder="" measureGroup="Institute_location" count="0" hidden="1">
      <extLst>
        <ext xmlns:x15="http://schemas.microsoft.com/office/spreadsheetml/2010/11/main" uri="{B97F6D7D-B522-45F9-BDA1-12C45D357490}">
          <x15:cacheHierarchy aggregatedColumn="2"/>
        </ext>
      </extLst>
    </cacheHierarchy>
    <cacheHierarchy uniqueName="[Measures].[Count of Institute ID 2]" caption="Count of Institute ID 2" measure="1" displayFolder="" measureGroup="Institute_details" count="0" oneField="1" hidden="1">
      <fieldsUsage count="1">
        <fieldUsage x="0"/>
      </fieldsUsage>
      <extLst>
        <ext xmlns:x15="http://schemas.microsoft.com/office/spreadsheetml/2010/11/main" uri="{B97F6D7D-B522-45F9-BDA1-12C45D357490}">
          <x15:cacheHierarchy aggregatedColumn="0"/>
        </ext>
      </extLst>
    </cacheHierarchy>
    <cacheHierarchy uniqueName="[Measures].[Count of Name]" caption="Count of Name" measure="1" displayFolder="" measureGroup="Institute_details" count="0" hidden="1">
      <extLst>
        <ext xmlns:x15="http://schemas.microsoft.com/office/spreadsheetml/2010/11/main" uri="{B97F6D7D-B522-45F9-BDA1-12C45D357490}">
          <x15:cacheHierarchy aggregatedColumn="1"/>
        </ext>
      </extLst>
    </cacheHierarchy>
    <cacheHierarchy uniqueName="[Measures].[Count of Rank - Copy]" caption="Count of Rank - Copy" measure="1" displayFolder="" measureGroup="Institute_ranking" count="0" hidden="1">
      <extLst>
        <ext xmlns:x15="http://schemas.microsoft.com/office/spreadsheetml/2010/11/main" uri="{B97F6D7D-B522-45F9-BDA1-12C45D357490}">
          <x15:cacheHierarchy aggregatedColumn="9"/>
        </ext>
      </extLst>
    </cacheHierarchy>
    <cacheHierarchy uniqueName="[Measures].[Distinct Count of Rank - Copy]" caption="Distinct Count of Rank - Copy" measure="1" displayFolder="" measureGroup="Institute_ranking" count="0" hidden="1">
      <extLst>
        <ext xmlns:x15="http://schemas.microsoft.com/office/spreadsheetml/2010/11/main" uri="{B97F6D7D-B522-45F9-BDA1-12C45D357490}">
          <x15:cacheHierarchy aggregatedColumn="9"/>
        </ext>
      </extLst>
    </cacheHierarchy>
    <cacheHierarchy uniqueName="[Measures].[Max of Score]" caption="Max of Score" measure="1" displayFolder="" measureGroup="Institute_ranking" count="0" hidden="1">
      <extLst>
        <ext xmlns:x15="http://schemas.microsoft.com/office/spreadsheetml/2010/11/main" uri="{B97F6D7D-B522-45F9-BDA1-12C45D357490}">
          <x15:cacheHierarchy aggregatedColumn="6"/>
        </ext>
      </extLst>
    </cacheHierarchy>
    <cacheHierarchy uniqueName="[Measures].[Distinct Count of Rank]" caption="Distinct Count of Rank" measure="1" displayFolder="" measureGroup="Institute_ranking" count="0" hidden="1">
      <extLst>
        <ext xmlns:x15="http://schemas.microsoft.com/office/spreadsheetml/2010/11/main" uri="{B97F6D7D-B522-45F9-BDA1-12C45D357490}">
          <x15:cacheHierarchy aggregatedColumn="7"/>
        </ext>
      </extLst>
    </cacheHierarchy>
    <cacheHierarchy uniqueName="[Measures].[Sum of Institute_ranking.Rank]" caption="Sum of Institute_ranking.Rank" measure="1" displayFolder="" measureGroup="Merge1" count="0" hidden="1">
      <extLst>
        <ext xmlns:x15="http://schemas.microsoft.com/office/spreadsheetml/2010/11/main" uri="{B97F6D7D-B522-45F9-BDA1-12C45D357490}">
          <x15:cacheHierarchy aggregatedColumn="11"/>
        </ext>
      </extLst>
    </cacheHierarchy>
    <cacheHierarchy uniqueName="[Measures].[Count of Name 2]" caption="Count of Name 2" measure="1" displayFolder="" measureGroup="Merge1" count="0" hidden="1">
      <extLst>
        <ext xmlns:x15="http://schemas.microsoft.com/office/spreadsheetml/2010/11/main" uri="{B97F6D7D-B522-45F9-BDA1-12C45D357490}">
          <x15:cacheHierarchy aggregatedColumn="12"/>
        </ext>
      </extLst>
    </cacheHierarchy>
  </cacheHierarchies>
  <kpis count="0"/>
  <dimensions count="5">
    <dimension name="Institute_details" uniqueName="[Institute_details]" caption="Institute_details"/>
    <dimension name="Institute_location" uniqueName="[Institute_location]" caption="Institute_location"/>
    <dimension name="Institute_ranking" uniqueName="[Institute_ranking]" caption="Institute_ranking"/>
    <dimension measure="1" name="Measures" uniqueName="[Measures]" caption="Measures"/>
    <dimension name="Merge1" uniqueName="[Merge1]" caption="Merge1"/>
  </dimensions>
  <measureGroups count="4">
    <measureGroup name="Institute_details" caption="Institute_details"/>
    <measureGroup name="Institute_location" caption="Institute_location"/>
    <measureGroup name="Institute_ranking" caption="Institute_ranking"/>
    <measureGroup name="Merge1" caption="Merge1"/>
  </measureGroups>
  <maps count="6">
    <map measureGroup="0" dimension="0"/>
    <map measureGroup="0" dimension="1"/>
    <map measureGroup="0" dimension="2"/>
    <map measureGroup="1" dimension="1"/>
    <map measureGroup="2" dimension="2"/>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ASWANTH" refreshedDate="45923.442420254629" createdVersion="8" refreshedVersion="8" minRefreshableVersion="3" recordCount="0" supportSubquery="1" supportAdvancedDrill="1" xr:uid="{93208BD9-FDF7-4AF8-950F-89D6CF208336}">
  <cacheSource type="external" connectionId="5"/>
  <cacheFields count="3">
    <cacheField name="[Merge1].[Institute_ranking.Rank].[Institute_ranking.Rank]" caption="Institute_ranking.Rank" numFmtId="0" hierarchy="11" level="1">
      <sharedItems containsSemiMixedTypes="0" containsString="0" containsNumber="1" containsInteger="1" minValue="1" maxValue="5" count="5">
        <n v="1"/>
        <n v="2"/>
        <n v="3"/>
        <n v="4"/>
        <n v="5"/>
      </sharedItems>
      <extLst>
        <ext xmlns:x15="http://schemas.microsoft.com/office/spreadsheetml/2010/11/main" uri="{4F2E5C28-24EA-4eb8-9CBF-B6C8F9C3D259}">
          <x15:cachedUniqueNames>
            <x15:cachedUniqueName index="0" name="[Merge1].[Institute_ranking.Rank].&amp;[1]"/>
            <x15:cachedUniqueName index="1" name="[Merge1].[Institute_ranking.Rank].&amp;[2]"/>
            <x15:cachedUniqueName index="2" name="[Merge1].[Institute_ranking.Rank].&amp;[3]"/>
            <x15:cachedUniqueName index="3" name="[Merge1].[Institute_ranking.Rank].&amp;[4]"/>
            <x15:cachedUniqueName index="4" name="[Merge1].[Institute_ranking.Rank].&amp;[5]"/>
          </x15:cachedUniqueNames>
        </ext>
      </extLst>
    </cacheField>
    <cacheField name="[Merge1].[Name].[Name]" caption="Name" numFmtId="0" hierarchy="12" level="1">
      <sharedItems count="5">
        <s v="Banaras Hindu University"/>
        <s v="Indian Institute of Science"/>
        <s v="Jamia Millia Islamia"/>
        <s v="Jawaharlal Nehru University"/>
        <s v="Manipal Academy of Higher Education"/>
      </sharedItems>
    </cacheField>
    <cacheField name="[Measures].[Sum of Score]" caption="Sum of Score" numFmtId="0" hierarchy="22" level="32767"/>
  </cacheFields>
  <cacheHierarchies count="33">
    <cacheHierarchy uniqueName="[Institute_details].[Institute ID]" caption="Institute ID" attribute="1" defaultMemberUniqueName="[Institute_details].[Institute ID].[All]" allUniqueName="[Institute_details].[Institute ID].[All]" dimensionUniqueName="[Institute_details]" displayFolder="" count="0" memberValueDatatype="130" unbalanced="0"/>
    <cacheHierarchy uniqueName="[Institute_details].[Name]" caption="Name" attribute="1" defaultMemberUniqueName="[Institute_details].[Name].[All]" allUniqueName="[Institute_details].[Name].[All]" dimensionUniqueName="[Institute_details]" displayFolder="" count="0" memberValueDatatype="130" unbalanced="0"/>
    <cacheHierarchy uniqueName="[Institute_location].[Institute ID]" caption="Institute ID" attribute="1" defaultMemberUniqueName="[Institute_location].[Institute ID].[All]" allUniqueName="[Institute_location].[Institute ID].[All]" dimensionUniqueName="[Institute_location]" displayFolder="" count="0" memberValueDatatype="130" unbalanced="0"/>
    <cacheHierarchy uniqueName="[Institute_location].[City]" caption="City" attribute="1" defaultMemberUniqueName="[Institute_location].[City].[All]" allUniqueName="[Institute_location].[City].[All]" dimensionUniqueName="[Institute_location]" displayFolder="" count="0" memberValueDatatype="130" unbalanced="0"/>
    <cacheHierarchy uniqueName="[Institute_location].[State]" caption="State" attribute="1" defaultMemberUniqueName="[Institute_location].[State].[All]" allUniqueName="[Institute_location].[State].[All]" dimensionUniqueName="[Institute_location]" displayFolder="" count="0" memberValueDatatype="130" unbalanced="0"/>
    <cacheHierarchy uniqueName="[Institute_ranking].[Institute ID]" caption="Institute ID" attribute="1" defaultMemberUniqueName="[Institute_ranking].[Institute ID].[All]" allUniqueName="[Institute_ranking].[Institute ID].[All]" dimensionUniqueName="[Institute_ranking]" displayFolder="" count="0" memberValueDatatype="130" unbalanced="0"/>
    <cacheHierarchy uniqueName="[Institute_ranking].[Score]" caption="Score" attribute="1" defaultMemberUniqueName="[Institute_ranking].[Score].[All]" allUniqueName="[Institute_ranking].[Score].[All]" dimensionUniqueName="[Institute_ranking]" displayFolder="" count="0" memberValueDatatype="5" unbalanced="0"/>
    <cacheHierarchy uniqueName="[Institute_ranking].[Rank]" caption="Rank" attribute="1" defaultMemberUniqueName="[Institute_ranking].[Rank].[All]" allUniqueName="[Institute_ranking].[Rank].[All]" dimensionUniqueName="[Institute_ranking]" displayFolder="" count="0" memberValueDatatype="20" unbalanced="0"/>
    <cacheHierarchy uniqueName="[Institute_ranking].[Grade]" caption="Grade" attribute="1" defaultMemberUniqueName="[Institute_ranking].[Grade].[All]" allUniqueName="[Institute_ranking].[Grade].[All]" dimensionUniqueName="[Institute_ranking]" displayFolder="" count="0" memberValueDatatype="130" unbalanced="0"/>
    <cacheHierarchy uniqueName="[Institute_ranking].[Rank - Copy]" caption="Rank - Copy" attribute="1" defaultMemberUniqueName="[Institute_ranking].[Rank - Copy].[All]" allUniqueName="[Institute_ranking].[Rank - Copy].[All]" dimensionUniqueName="[Institute_ranking]" displayFolder="" count="2" memberValueDatatype="130" unbalanced="0"/>
    <cacheHierarchy uniqueName="[Institute_ranking].[Score - Copy]" caption="Score - Copy" attribute="1" defaultMemberUniqueName="[Institute_ranking].[Score - Copy].[All]" allUniqueName="[Institute_ranking].[Score - Copy].[All]" dimensionUniqueName="[Institute_ranking]" displayFolder="" count="0" memberValueDatatype="130" unbalanced="0"/>
    <cacheHierarchy uniqueName="[Merge1].[Institute_ranking.Rank]" caption="Institute_ranking.Rank" attribute="1" defaultMemberUniqueName="[Merge1].[Institute_ranking.Rank].[All]" allUniqueName="[Merge1].[Institute_ranking.Rank].[All]" dimensionUniqueName="[Merge1]" displayFolder="" count="2" memberValueDatatype="20" unbalanced="0">
      <fieldsUsage count="2">
        <fieldUsage x="-1"/>
        <fieldUsage x="0"/>
      </fieldsUsage>
    </cacheHierarchy>
    <cacheHierarchy uniqueName="[Merge1].[Name]" caption="Name" attribute="1" defaultMemberUniqueName="[Merge1].[Name].[All]" allUniqueName="[Merge1].[Name].[All]" dimensionUniqueName="[Merge1]" displayFolder="" count="2" memberValueDatatype="130" unbalanced="0">
      <fieldsUsage count="2">
        <fieldUsage x="-1"/>
        <fieldUsage x="1"/>
      </fieldsUsage>
    </cacheHierarchy>
    <cacheHierarchy uniqueName="[Merge1].[Institute_ranking.Score]" caption="Institute_ranking.Score" attribute="1" defaultMemberUniqueName="[Merge1].[Institute_ranking.Score].[All]" allUniqueName="[Merge1].[Institute_ranking.Score].[All]" dimensionUniqueName="[Merge1]" displayFolder="" count="0" memberValueDatatype="5" unbalanced="0"/>
    <cacheHierarchy uniqueName="[Merge1].[Institute ID]" caption="Institute ID" attribute="1" defaultMemberUniqueName="[Merge1].[Institute ID].[All]" allUniqueName="[Merge1].[Institute ID].[All]" dimensionUniqueName="[Merge1]" displayFolder="" count="0" memberValueDatatype="130" unbalanced="0"/>
    <cacheHierarchy uniqueName="[Measures].[__XL_Count Institute_details]" caption="__XL_Count Institute_details" measure="1" displayFolder="" measureGroup="Institute_details" count="0" hidden="1"/>
    <cacheHierarchy uniqueName="[Measures].[__XL_Count Institute_location]" caption="__XL_Count Institute_location" measure="1" displayFolder="" measureGroup="Institute_location" count="0" hidden="1"/>
    <cacheHierarchy uniqueName="[Measures].[__XL_Count Institute_ranking]" caption="__XL_Count Institute_ranking" measure="1" displayFolder="" measureGroup="Institute_ranking" count="0" hidden="1"/>
    <cacheHierarchy uniqueName="[Measures].[__XL_Count Merge1]" caption="__XL_Count Merge1" measure="1" displayFolder="" measureGroup="Merge1" count="0" hidden="1"/>
    <cacheHierarchy uniqueName="[Measures].[__No measures defined]" caption="__No measures defined" measure="1" displayFolder="" count="0" hidden="1"/>
    <cacheHierarchy uniqueName="[Measures].[Sum of Rank]" caption="Sum of Rank" measure="1" displayFolder="" measureGroup="Institute_ranking" count="0" hidden="1">
      <extLst>
        <ext xmlns:x15="http://schemas.microsoft.com/office/spreadsheetml/2010/11/main" uri="{B97F6D7D-B522-45F9-BDA1-12C45D357490}">
          <x15:cacheHierarchy aggregatedColumn="7"/>
        </ext>
      </extLst>
    </cacheHierarchy>
    <cacheHierarchy uniqueName="[Measures].[Average of Rank]" caption="Average of Rank" measure="1" displayFolder="" measureGroup="Institute_ranking" count="0" hidden="1">
      <extLst>
        <ext xmlns:x15="http://schemas.microsoft.com/office/spreadsheetml/2010/11/main" uri="{B97F6D7D-B522-45F9-BDA1-12C45D357490}">
          <x15:cacheHierarchy aggregatedColumn="7"/>
        </ext>
      </extLst>
    </cacheHierarchy>
    <cacheHierarchy uniqueName="[Measures].[Sum of Score]" caption="Sum of Score" measure="1" displayFolder="" measureGroup="Institute_ranking" count="0" oneField="1" hidden="1">
      <fieldsUsage count="1">
        <fieldUsage x="2"/>
      </fieldsUsage>
      <extLst>
        <ext xmlns:x15="http://schemas.microsoft.com/office/spreadsheetml/2010/11/main" uri="{B97F6D7D-B522-45F9-BDA1-12C45D357490}">
          <x15:cacheHierarchy aggregatedColumn="6"/>
        </ext>
      </extLst>
    </cacheHierarchy>
    <cacheHierarchy uniqueName="[Measures].[Average of Score]" caption="Average of Score" measure="1" displayFolder="" measureGroup="Institute_ranking" count="0" hidden="1">
      <extLst>
        <ext xmlns:x15="http://schemas.microsoft.com/office/spreadsheetml/2010/11/main" uri="{B97F6D7D-B522-45F9-BDA1-12C45D357490}">
          <x15:cacheHierarchy aggregatedColumn="6"/>
        </ext>
      </extLst>
    </cacheHierarchy>
    <cacheHierarchy uniqueName="[Measures].[Count of Institute ID]" caption="Count of Institute ID" measure="1" displayFolder="" measureGroup="Institute_location" count="0" hidden="1">
      <extLst>
        <ext xmlns:x15="http://schemas.microsoft.com/office/spreadsheetml/2010/11/main" uri="{B97F6D7D-B522-45F9-BDA1-12C45D357490}">
          <x15:cacheHierarchy aggregatedColumn="2"/>
        </ext>
      </extLst>
    </cacheHierarchy>
    <cacheHierarchy uniqueName="[Measures].[Count of Institute ID 2]" caption="Count of Institute ID 2" measure="1" displayFolder="" measureGroup="Institute_details" count="0" hidden="1">
      <extLst>
        <ext xmlns:x15="http://schemas.microsoft.com/office/spreadsheetml/2010/11/main" uri="{B97F6D7D-B522-45F9-BDA1-12C45D357490}">
          <x15:cacheHierarchy aggregatedColumn="0"/>
        </ext>
      </extLst>
    </cacheHierarchy>
    <cacheHierarchy uniqueName="[Measures].[Count of Name]" caption="Count of Name" measure="1" displayFolder="" measureGroup="Institute_details" count="0" hidden="1">
      <extLst>
        <ext xmlns:x15="http://schemas.microsoft.com/office/spreadsheetml/2010/11/main" uri="{B97F6D7D-B522-45F9-BDA1-12C45D357490}">
          <x15:cacheHierarchy aggregatedColumn="1"/>
        </ext>
      </extLst>
    </cacheHierarchy>
    <cacheHierarchy uniqueName="[Measures].[Count of Rank - Copy]" caption="Count of Rank - Copy" measure="1" displayFolder="" measureGroup="Institute_ranking" count="0" hidden="1">
      <extLst>
        <ext xmlns:x15="http://schemas.microsoft.com/office/spreadsheetml/2010/11/main" uri="{B97F6D7D-B522-45F9-BDA1-12C45D357490}">
          <x15:cacheHierarchy aggregatedColumn="9"/>
        </ext>
      </extLst>
    </cacheHierarchy>
    <cacheHierarchy uniqueName="[Measures].[Distinct Count of Rank - Copy]" caption="Distinct Count of Rank - Copy" measure="1" displayFolder="" measureGroup="Institute_ranking" count="0" hidden="1">
      <extLst>
        <ext xmlns:x15="http://schemas.microsoft.com/office/spreadsheetml/2010/11/main" uri="{B97F6D7D-B522-45F9-BDA1-12C45D357490}">
          <x15:cacheHierarchy aggregatedColumn="9"/>
        </ext>
      </extLst>
    </cacheHierarchy>
    <cacheHierarchy uniqueName="[Measures].[Max of Score]" caption="Max of Score" measure="1" displayFolder="" measureGroup="Institute_ranking" count="0" hidden="1">
      <extLst>
        <ext xmlns:x15="http://schemas.microsoft.com/office/spreadsheetml/2010/11/main" uri="{B97F6D7D-B522-45F9-BDA1-12C45D357490}">
          <x15:cacheHierarchy aggregatedColumn="6"/>
        </ext>
      </extLst>
    </cacheHierarchy>
    <cacheHierarchy uniqueName="[Measures].[Distinct Count of Rank]" caption="Distinct Count of Rank" measure="1" displayFolder="" measureGroup="Institute_ranking" count="0" hidden="1">
      <extLst>
        <ext xmlns:x15="http://schemas.microsoft.com/office/spreadsheetml/2010/11/main" uri="{B97F6D7D-B522-45F9-BDA1-12C45D357490}">
          <x15:cacheHierarchy aggregatedColumn="7"/>
        </ext>
      </extLst>
    </cacheHierarchy>
    <cacheHierarchy uniqueName="[Measures].[Sum of Institute_ranking.Rank]" caption="Sum of Institute_ranking.Rank" measure="1" displayFolder="" measureGroup="Merge1" count="0" hidden="1">
      <extLst>
        <ext xmlns:x15="http://schemas.microsoft.com/office/spreadsheetml/2010/11/main" uri="{B97F6D7D-B522-45F9-BDA1-12C45D357490}">
          <x15:cacheHierarchy aggregatedColumn="11"/>
        </ext>
      </extLst>
    </cacheHierarchy>
    <cacheHierarchy uniqueName="[Measures].[Count of Name 2]" caption="Count of Name 2" measure="1" displayFolder="" measureGroup="Merge1" count="0" hidden="1">
      <extLst>
        <ext xmlns:x15="http://schemas.microsoft.com/office/spreadsheetml/2010/11/main" uri="{B97F6D7D-B522-45F9-BDA1-12C45D357490}">
          <x15:cacheHierarchy aggregatedColumn="12"/>
        </ext>
      </extLst>
    </cacheHierarchy>
  </cacheHierarchies>
  <kpis count="0"/>
  <dimensions count="5">
    <dimension name="Institute_details" uniqueName="[Institute_details]" caption="Institute_details"/>
    <dimension name="Institute_location" uniqueName="[Institute_location]" caption="Institute_location"/>
    <dimension name="Institute_ranking" uniqueName="[Institute_ranking]" caption="Institute_ranking"/>
    <dimension measure="1" name="Measures" uniqueName="[Measures]" caption="Measures"/>
    <dimension name="Merge1" uniqueName="[Merge1]" caption="Merge1"/>
  </dimensions>
  <measureGroups count="4">
    <measureGroup name="Institute_details" caption="Institute_details"/>
    <measureGroup name="Institute_location" caption="Institute_location"/>
    <measureGroup name="Institute_ranking" caption="Institute_ranking"/>
    <measureGroup name="Merge1" caption="Merge1"/>
  </measureGroups>
  <maps count="6">
    <map measureGroup="0" dimension="0"/>
    <map measureGroup="0" dimension="1"/>
    <map measureGroup="0" dimension="2"/>
    <map measureGroup="1" dimension="1"/>
    <map measureGroup="2" dimension="2"/>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ASWANTH" refreshedDate="45923.452697916669" createdVersion="5" refreshedVersion="8" minRefreshableVersion="3" recordCount="0" supportSubquery="1" supportAdvancedDrill="1" xr:uid="{1181A640-8C8D-45AC-B51D-40C2EDD6EED1}">
  <cacheSource type="external" connectionId="5"/>
  <cacheFields count="3">
    <cacheField name="[Institute_ranking].[Score].[Score]" caption="Score" numFmtId="0" hierarchy="6" level="1">
      <sharedItems containsSemiMixedTypes="0" containsNonDate="0" containsString="0"/>
    </cacheField>
    <cacheField name="[Measures].[Average of Score]" caption="Average of Score" numFmtId="0" hierarchy="23" level="32767"/>
    <cacheField name="[Institute_location].[State].[State]" caption="State" numFmtId="0" hierarchy="4" level="1">
      <sharedItems count="22">
        <s v="Andhra Pradesh"/>
        <s v="Assam"/>
        <s v="Chandigarh"/>
        <s v="Delhi"/>
        <s v="Gujarat"/>
        <s v="Haryana"/>
        <s v="Himachal Pradesh"/>
        <s v="Jammu and Kashmir"/>
        <s v="Jharkhand"/>
        <s v="Karnataka"/>
        <s v="Kerala"/>
        <s v="Maharashtra"/>
        <s v="Mizoram"/>
        <s v="Odisha"/>
        <s v="Pondicherry"/>
        <s v="Punjab"/>
        <s v="Rajasthan"/>
        <s v="Tamil Nadu"/>
        <s v="Telangana"/>
        <s v="Uttar Pradesh"/>
        <s v="Uttarakhand"/>
        <s v="West Bengal"/>
      </sharedItems>
    </cacheField>
  </cacheFields>
  <cacheHierarchies count="33">
    <cacheHierarchy uniqueName="[Institute_details].[Institute ID]" caption="Institute ID" attribute="1" defaultMemberUniqueName="[Institute_details].[Institute ID].[All]" allUniqueName="[Institute_details].[Institute ID].[All]" dimensionUniqueName="[Institute_details]" displayFolder="" count="0" memberValueDatatype="130" unbalanced="0"/>
    <cacheHierarchy uniqueName="[Institute_details].[Name]" caption="Name" attribute="1" defaultMemberUniqueName="[Institute_details].[Name].[All]" allUniqueName="[Institute_details].[Name].[All]" dimensionUniqueName="[Institute_details]" displayFolder="" count="2" memberValueDatatype="130" unbalanced="0"/>
    <cacheHierarchy uniqueName="[Institute_location].[Institute ID]" caption="Institute ID" attribute="1" defaultMemberUniqueName="[Institute_location].[Institute ID].[All]" allUniqueName="[Institute_location].[Institute ID].[All]" dimensionUniqueName="[Institute_location]" displayFolder="" count="0" memberValueDatatype="130" unbalanced="0"/>
    <cacheHierarchy uniqueName="[Institute_location].[City]" caption="City" attribute="1" defaultMemberUniqueName="[Institute_location].[City].[All]" allUniqueName="[Institute_location].[City].[All]" dimensionUniqueName="[Institute_location]" displayFolder="" count="0" memberValueDatatype="130" unbalanced="0"/>
    <cacheHierarchy uniqueName="[Institute_location].[State]" caption="State" attribute="1" defaultMemberUniqueName="[Institute_location].[State].[All]" allUniqueName="[Institute_location].[State].[All]" dimensionUniqueName="[Institute_location]" displayFolder="" count="2" memberValueDatatype="130" unbalanced="0">
      <fieldsUsage count="2">
        <fieldUsage x="-1"/>
        <fieldUsage x="2"/>
      </fieldsUsage>
    </cacheHierarchy>
    <cacheHierarchy uniqueName="[Institute_ranking].[Institute ID]" caption="Institute ID" attribute="1" defaultMemberUniqueName="[Institute_ranking].[Institute ID].[All]" allUniqueName="[Institute_ranking].[Institute ID].[All]" dimensionUniqueName="[Institute_ranking]" displayFolder="" count="0" memberValueDatatype="130" unbalanced="0"/>
    <cacheHierarchy uniqueName="[Institute_ranking].[Score]" caption="Score" attribute="1" defaultMemberUniqueName="[Institute_ranking].[Score].[All]" allUniqueName="[Institute_ranking].[Score].[All]" dimensionUniqueName="[Institute_ranking]" displayFolder="" count="2" memberValueDatatype="5" unbalanced="0">
      <fieldsUsage count="2">
        <fieldUsage x="-1"/>
        <fieldUsage x="0"/>
      </fieldsUsage>
    </cacheHierarchy>
    <cacheHierarchy uniqueName="[Institute_ranking].[Rank]" caption="Rank" attribute="1" defaultMemberUniqueName="[Institute_ranking].[Rank].[All]" allUniqueName="[Institute_ranking].[Rank].[All]" dimensionUniqueName="[Institute_ranking]" displayFolder="" count="0" memberValueDatatype="20" unbalanced="0"/>
    <cacheHierarchy uniqueName="[Institute_ranking].[Grade]" caption="Grade" attribute="1" defaultMemberUniqueName="[Institute_ranking].[Grade].[All]" allUniqueName="[Institute_ranking].[Grade].[All]" dimensionUniqueName="[Institute_ranking]" displayFolder="" count="0" memberValueDatatype="130" unbalanced="0"/>
    <cacheHierarchy uniqueName="[Institute_ranking].[Rank - Copy]" caption="Rank - Copy" attribute="1" defaultMemberUniqueName="[Institute_ranking].[Rank - Copy].[All]" allUniqueName="[Institute_ranking].[Rank - Copy].[All]" dimensionUniqueName="[Institute_ranking]" displayFolder="" count="0" memberValueDatatype="130" unbalanced="0"/>
    <cacheHierarchy uniqueName="[Institute_ranking].[Score - Copy]" caption="Score - Copy" attribute="1" defaultMemberUniqueName="[Institute_ranking].[Score - Copy].[All]" allUniqueName="[Institute_ranking].[Score - Copy].[All]" dimensionUniqueName="[Institute_ranking]" displayFolder="" count="0" memberValueDatatype="130" unbalanced="0"/>
    <cacheHierarchy uniqueName="[Merge1].[Institute_ranking.Rank]" caption="Institute_ranking.Rank" attribute="1" defaultMemberUniqueName="[Merge1].[Institute_ranking.Rank].[All]" allUniqueName="[Merge1].[Institute_ranking.Rank].[All]" dimensionUniqueName="[Merge1]" displayFolder="" count="0" memberValueDatatype="20" unbalanced="0"/>
    <cacheHierarchy uniqueName="[Merge1].[Name]" caption="Name" attribute="1" defaultMemberUniqueName="[Merge1].[Name].[All]" allUniqueName="[Merge1].[Name].[All]" dimensionUniqueName="[Merge1]" displayFolder="" count="0" memberValueDatatype="130" unbalanced="0"/>
    <cacheHierarchy uniqueName="[Merge1].[Institute_ranking.Score]" caption="Institute_ranking.Score" attribute="1" defaultMemberUniqueName="[Merge1].[Institute_ranking.Score].[All]" allUniqueName="[Merge1].[Institute_ranking.Score].[All]" dimensionUniqueName="[Merge1]" displayFolder="" count="0" memberValueDatatype="5" unbalanced="0"/>
    <cacheHierarchy uniqueName="[Merge1].[Institute ID]" caption="Institute ID" attribute="1" defaultMemberUniqueName="[Merge1].[Institute ID].[All]" allUniqueName="[Merge1].[Institute ID].[All]" dimensionUniqueName="[Merge1]" displayFolder="" count="0" memberValueDatatype="130" unbalanced="0"/>
    <cacheHierarchy uniqueName="[Measures].[__XL_Count Institute_details]" caption="__XL_Count Institute_details" measure="1" displayFolder="" measureGroup="Institute_details" count="0" hidden="1"/>
    <cacheHierarchy uniqueName="[Measures].[__XL_Count Institute_location]" caption="__XL_Count Institute_location" measure="1" displayFolder="" measureGroup="Institute_location" count="0" hidden="1"/>
    <cacheHierarchy uniqueName="[Measures].[__XL_Count Institute_ranking]" caption="__XL_Count Institute_ranking" measure="1" displayFolder="" measureGroup="Institute_ranking" count="0" hidden="1"/>
    <cacheHierarchy uniqueName="[Measures].[__XL_Count Merge1]" caption="__XL_Count Merge1" measure="1" displayFolder="" measureGroup="Merge1" count="0" hidden="1"/>
    <cacheHierarchy uniqueName="[Measures].[__No measures defined]" caption="__No measures defined" measure="1" displayFolder="" count="0" hidden="1"/>
    <cacheHierarchy uniqueName="[Measures].[Sum of Rank]" caption="Sum of Rank" measure="1" displayFolder="" measureGroup="Institute_ranking" count="0" hidden="1">
      <extLst>
        <ext xmlns:x15="http://schemas.microsoft.com/office/spreadsheetml/2010/11/main" uri="{B97F6D7D-B522-45F9-BDA1-12C45D357490}">
          <x15:cacheHierarchy aggregatedColumn="7"/>
        </ext>
      </extLst>
    </cacheHierarchy>
    <cacheHierarchy uniqueName="[Measures].[Average of Rank]" caption="Average of Rank" measure="1" displayFolder="" measureGroup="Institute_ranking" count="0" hidden="1">
      <extLst>
        <ext xmlns:x15="http://schemas.microsoft.com/office/spreadsheetml/2010/11/main" uri="{B97F6D7D-B522-45F9-BDA1-12C45D357490}">
          <x15:cacheHierarchy aggregatedColumn="7"/>
        </ext>
      </extLst>
    </cacheHierarchy>
    <cacheHierarchy uniqueName="[Measures].[Sum of Score]" caption="Sum of Score" measure="1" displayFolder="" measureGroup="Institute_ranking" count="0" hidden="1">
      <extLst>
        <ext xmlns:x15="http://schemas.microsoft.com/office/spreadsheetml/2010/11/main" uri="{B97F6D7D-B522-45F9-BDA1-12C45D357490}">
          <x15:cacheHierarchy aggregatedColumn="6"/>
        </ext>
      </extLst>
    </cacheHierarchy>
    <cacheHierarchy uniqueName="[Measures].[Average of Score]" caption="Average of Score" measure="1" displayFolder="" measureGroup="Institute_ranking" count="0" oneField="1" hidden="1">
      <fieldsUsage count="1">
        <fieldUsage x="1"/>
      </fieldsUsage>
      <extLst>
        <ext xmlns:x15="http://schemas.microsoft.com/office/spreadsheetml/2010/11/main" uri="{B97F6D7D-B522-45F9-BDA1-12C45D357490}">
          <x15:cacheHierarchy aggregatedColumn="6"/>
        </ext>
      </extLst>
    </cacheHierarchy>
    <cacheHierarchy uniqueName="[Measures].[Count of Institute ID]" caption="Count of Institute ID" measure="1" displayFolder="" measureGroup="Institute_location" count="0" hidden="1">
      <extLst>
        <ext xmlns:x15="http://schemas.microsoft.com/office/spreadsheetml/2010/11/main" uri="{B97F6D7D-B522-45F9-BDA1-12C45D357490}">
          <x15:cacheHierarchy aggregatedColumn="2"/>
        </ext>
      </extLst>
    </cacheHierarchy>
    <cacheHierarchy uniqueName="[Measures].[Count of Institute ID 2]" caption="Count of Institute ID 2" measure="1" displayFolder="" measureGroup="Institute_details" count="0" hidden="1">
      <extLst>
        <ext xmlns:x15="http://schemas.microsoft.com/office/spreadsheetml/2010/11/main" uri="{B97F6D7D-B522-45F9-BDA1-12C45D357490}">
          <x15:cacheHierarchy aggregatedColumn="0"/>
        </ext>
      </extLst>
    </cacheHierarchy>
    <cacheHierarchy uniqueName="[Measures].[Count of Name]" caption="Count of Name" measure="1" displayFolder="" measureGroup="Institute_details" count="0" hidden="1">
      <extLst>
        <ext xmlns:x15="http://schemas.microsoft.com/office/spreadsheetml/2010/11/main" uri="{B97F6D7D-B522-45F9-BDA1-12C45D357490}">
          <x15:cacheHierarchy aggregatedColumn="1"/>
        </ext>
      </extLst>
    </cacheHierarchy>
    <cacheHierarchy uniqueName="[Measures].[Count of Rank - Copy]" caption="Count of Rank - Copy" measure="1" displayFolder="" measureGroup="Institute_ranking" count="0" hidden="1">
      <extLst>
        <ext xmlns:x15="http://schemas.microsoft.com/office/spreadsheetml/2010/11/main" uri="{B97F6D7D-B522-45F9-BDA1-12C45D357490}">
          <x15:cacheHierarchy aggregatedColumn="9"/>
        </ext>
      </extLst>
    </cacheHierarchy>
    <cacheHierarchy uniqueName="[Measures].[Distinct Count of Rank - Copy]" caption="Distinct Count of Rank - Copy" measure="1" displayFolder="" measureGroup="Institute_ranking" count="0" hidden="1">
      <extLst>
        <ext xmlns:x15="http://schemas.microsoft.com/office/spreadsheetml/2010/11/main" uri="{B97F6D7D-B522-45F9-BDA1-12C45D357490}">
          <x15:cacheHierarchy aggregatedColumn="9"/>
        </ext>
      </extLst>
    </cacheHierarchy>
    <cacheHierarchy uniqueName="[Measures].[Max of Score]" caption="Max of Score" measure="1" displayFolder="" measureGroup="Institute_ranking" count="0" hidden="1">
      <extLst>
        <ext xmlns:x15="http://schemas.microsoft.com/office/spreadsheetml/2010/11/main" uri="{B97F6D7D-B522-45F9-BDA1-12C45D357490}">
          <x15:cacheHierarchy aggregatedColumn="6"/>
        </ext>
      </extLst>
    </cacheHierarchy>
    <cacheHierarchy uniqueName="[Measures].[Distinct Count of Rank]" caption="Distinct Count of Rank" measure="1" displayFolder="" measureGroup="Institute_ranking" count="0" hidden="1">
      <extLst>
        <ext xmlns:x15="http://schemas.microsoft.com/office/spreadsheetml/2010/11/main" uri="{B97F6D7D-B522-45F9-BDA1-12C45D357490}">
          <x15:cacheHierarchy aggregatedColumn="7"/>
        </ext>
      </extLst>
    </cacheHierarchy>
    <cacheHierarchy uniqueName="[Measures].[Sum of Institute_ranking.Rank]" caption="Sum of Institute_ranking.Rank" measure="1" displayFolder="" measureGroup="Merge1" count="0" hidden="1">
      <extLst>
        <ext xmlns:x15="http://schemas.microsoft.com/office/spreadsheetml/2010/11/main" uri="{B97F6D7D-B522-45F9-BDA1-12C45D357490}">
          <x15:cacheHierarchy aggregatedColumn="11"/>
        </ext>
      </extLst>
    </cacheHierarchy>
    <cacheHierarchy uniqueName="[Measures].[Count of Name 2]" caption="Count of Name 2" measure="1" displayFolder="" measureGroup="Merge1" count="0" hidden="1">
      <extLst>
        <ext xmlns:x15="http://schemas.microsoft.com/office/spreadsheetml/2010/11/main" uri="{B97F6D7D-B522-45F9-BDA1-12C45D357490}">
          <x15:cacheHierarchy aggregatedColumn="12"/>
        </ext>
      </extLst>
    </cacheHierarchy>
  </cacheHierarchies>
  <kpis count="0"/>
  <dimensions count="5">
    <dimension name="Institute_details" uniqueName="[Institute_details]" caption="Institute_details"/>
    <dimension name="Institute_location" uniqueName="[Institute_location]" caption="Institute_location"/>
    <dimension name="Institute_ranking" uniqueName="[Institute_ranking]" caption="Institute_ranking"/>
    <dimension measure="1" name="Measures" uniqueName="[Measures]" caption="Measures"/>
    <dimension name="Merge1" uniqueName="[Merge1]" caption="Merge1"/>
  </dimensions>
  <measureGroups count="4">
    <measureGroup name="Institute_details" caption="Institute_details"/>
    <measureGroup name="Institute_location" caption="Institute_location"/>
    <measureGroup name="Institute_ranking" caption="Institute_ranking"/>
    <measureGroup name="Merge1" caption="Merge1"/>
  </measureGroups>
  <maps count="6">
    <map measureGroup="0" dimension="0"/>
    <map measureGroup="0" dimension="1"/>
    <map measureGroup="0" dimension="2"/>
    <map measureGroup="1" dimension="1"/>
    <map measureGroup="2" dimension="2"/>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ASWANTH" refreshedDate="45923.778743750001" createdVersion="3" refreshedVersion="8" minRefreshableVersion="3" recordCount="0" supportSubquery="1" supportAdvancedDrill="1" xr:uid="{ABCDB273-0A02-4037-B1B2-84AD25E26275}">
  <cacheSource type="external" connectionId="5">
    <extLst>
      <ext xmlns:x14="http://schemas.microsoft.com/office/spreadsheetml/2009/9/main" uri="{F057638F-6D5F-4e77-A914-E7F072B9BCA8}">
        <x14:sourceConnection name="ThisWorkbookDataModel"/>
      </ext>
    </extLst>
  </cacheSource>
  <cacheFields count="0"/>
  <cacheHierarchies count="34">
    <cacheHierarchy uniqueName="[Institute_details].[Institute ID]" caption="Institute ID" attribute="1" defaultMemberUniqueName="[Institute_details].[Institute ID].[All]" allUniqueName="[Institute_details].[Institute ID].[All]" dimensionUniqueName="[Institute_details]" displayFolder="" count="2" memberValueDatatype="130" unbalanced="0"/>
    <cacheHierarchy uniqueName="[Institute_details].[Name]" caption="Name" attribute="1" defaultMemberUniqueName="[Institute_details].[Name].[All]" allUniqueName="[Institute_details].[Name].[All]" dimensionUniqueName="[Institute_details]" displayFolder="" count="2" memberValueDatatype="130" unbalanced="0"/>
    <cacheHierarchy uniqueName="[Institute_location].[Institute ID]" caption="Institute ID" attribute="1" defaultMemberUniqueName="[Institute_location].[Institute ID].[All]" allUniqueName="[Institute_location].[Institute ID].[All]" dimensionUniqueName="[Institute_location]" displayFolder="" count="2" memberValueDatatype="130" unbalanced="0"/>
    <cacheHierarchy uniqueName="[Institute_location].[City]" caption="City" attribute="1" defaultMemberUniqueName="[Institute_location].[City].[All]" allUniqueName="[Institute_location].[City].[All]" dimensionUniqueName="[Institute_location]" displayFolder="" count="2" memberValueDatatype="130" unbalanced="0"/>
    <cacheHierarchy uniqueName="[Institute_location].[State]" caption="State" attribute="1" defaultMemberUniqueName="[Institute_location].[State].[All]" allUniqueName="[Institute_location].[State].[All]" dimensionUniqueName="[Institute_location]" displayFolder="" count="2" memberValueDatatype="130" unbalanced="0"/>
    <cacheHierarchy uniqueName="[Institute_ranking].[Institute ID]" caption="Institute ID" attribute="1" defaultMemberUniqueName="[Institute_ranking].[Institute ID].[All]" allUniqueName="[Institute_ranking].[Institute ID].[All]" dimensionUniqueName="[Institute_ranking]" displayFolder="" count="2" memberValueDatatype="130" unbalanced="0"/>
    <cacheHierarchy uniqueName="[Institute_ranking].[Score]" caption="Score" attribute="1" defaultMemberUniqueName="[Institute_ranking].[Score].[All]" allUniqueName="[Institute_ranking].[Score].[All]" dimensionUniqueName="[Institute_ranking]" displayFolder="" count="2" memberValueDatatype="5" unbalanced="0"/>
    <cacheHierarchy uniqueName="[Institute_ranking].[Rank]" caption="Rank" attribute="1" defaultMemberUniqueName="[Institute_ranking].[Rank].[All]" allUniqueName="[Institute_ranking].[Rank].[All]" dimensionUniqueName="[Institute_ranking]" displayFolder="" count="2" memberValueDatatype="20" unbalanced="0"/>
    <cacheHierarchy uniqueName="[Institute_ranking].[Grade]" caption="Grade" attribute="1" defaultMemberUniqueName="[Institute_ranking].[Grade].[All]" allUniqueName="[Institute_ranking].[Grade].[All]" dimensionUniqueName="[Institute_ranking]" displayFolder="" count="2" memberValueDatatype="130" unbalanced="0"/>
    <cacheHierarchy uniqueName="[Institute_ranking].[Rank - Copy]" caption="Rank - Copy" attribute="1" defaultMemberUniqueName="[Institute_ranking].[Rank - Copy].[All]" allUniqueName="[Institute_ranking].[Rank - Copy].[All]" dimensionUniqueName="[Institute_ranking]" displayFolder="" count="2" memberValueDatatype="130" unbalanced="0"/>
    <cacheHierarchy uniqueName="[Institute_ranking].[Score - Copy]" caption="Score - Copy" attribute="1" defaultMemberUniqueName="[Institute_ranking].[Score - Copy].[All]" allUniqueName="[Institute_ranking].[Score - Copy].[All]" dimensionUniqueName="[Institute_ranking]" displayFolder="" count="2" memberValueDatatype="130" unbalanced="0"/>
    <cacheHierarchy uniqueName="[Measures]" caption="Measures" attribute="1" keyAttribute="1" defaultMemberUniqueName="[Measures].[__No measures defined]" dimensionUniqueName="[Measures]" displayFolder="" measures="1" count="1" memberValueDatatype="130" unbalanced="0"/>
    <cacheHierarchy uniqueName="[Merge1].[Institute_ranking.Rank]" caption="Institute_ranking.Rank" attribute="1" defaultMemberUniqueName="[Merge1].[Institute_ranking.Rank].[All]" allUniqueName="[Merge1].[Institute_ranking.Rank].[All]" dimensionUniqueName="[Merge1]" displayFolder="" count="2" memberValueDatatype="20" unbalanced="0"/>
    <cacheHierarchy uniqueName="[Merge1].[Name]" caption="Name" attribute="1" defaultMemberUniqueName="[Merge1].[Name].[All]" allUniqueName="[Merge1].[Name].[All]" dimensionUniqueName="[Merge1]" displayFolder="" count="2" memberValueDatatype="130" unbalanced="0"/>
    <cacheHierarchy uniqueName="[Merge1].[Institute_ranking.Score]" caption="Institute_ranking.Score" attribute="1" defaultMemberUniqueName="[Merge1].[Institute_ranking.Score].[All]" allUniqueName="[Merge1].[Institute_ranking.Score].[All]" dimensionUniqueName="[Merge1]" displayFolder="" count="2" memberValueDatatype="5" unbalanced="0"/>
    <cacheHierarchy uniqueName="[Merge1].[Institute ID]" caption="Institute ID" attribute="1" defaultMemberUniqueName="[Merge1].[Institute ID].[All]" allUniqueName="[Merge1].[Institute ID].[All]" dimensionUniqueName="[Merge1]" displayFolder="" count="2" memberValueDatatype="130" unbalanced="0"/>
    <cacheHierarchy uniqueName="[Measures].[__XL_Count Institute_details]" caption="__XL_Count Institute_details" measure="1" displayFolder="" measureGroup="Institute_details" count="0" hidden="1"/>
    <cacheHierarchy uniqueName="[Measures].[__XL_Count Institute_location]" caption="__XL_Count Institute_location" measure="1" displayFolder="" measureGroup="Institute_location" count="0" hidden="1"/>
    <cacheHierarchy uniqueName="[Measures].[__XL_Count Institute_ranking]" caption="__XL_Count Institute_ranking" measure="1" displayFolder="" measureGroup="Institute_ranking" count="0" hidden="1"/>
    <cacheHierarchy uniqueName="[Measures].[__XL_Count Merge1]" caption="__XL_Count Merge1" measure="1" displayFolder="" measureGroup="Merge1" count="0" hidden="1"/>
    <cacheHierarchy uniqueName="[Measures].[__No measures defined]" caption="__No measures defined" measure="1" displayFolder="" count="0" hidden="1"/>
    <cacheHierarchy uniqueName="[Measures].[Sum of Rank]" caption="Sum of Rank" measure="1" displayFolder="" measureGroup="Institute_ranking" count="0" hidden="1">
      <extLst>
        <ext xmlns:x15="http://schemas.microsoft.com/office/spreadsheetml/2010/11/main" uri="{B97F6D7D-B522-45F9-BDA1-12C45D357490}">
          <x15:cacheHierarchy aggregatedColumn="7"/>
        </ext>
      </extLst>
    </cacheHierarchy>
    <cacheHierarchy uniqueName="[Measures].[Average of Rank]" caption="Average of Rank" measure="1" displayFolder="" measureGroup="Institute_ranking" count="0" hidden="1">
      <extLst>
        <ext xmlns:x15="http://schemas.microsoft.com/office/spreadsheetml/2010/11/main" uri="{B97F6D7D-B522-45F9-BDA1-12C45D357490}">
          <x15:cacheHierarchy aggregatedColumn="7"/>
        </ext>
      </extLst>
    </cacheHierarchy>
    <cacheHierarchy uniqueName="[Measures].[Sum of Score]" caption="Sum of Score" measure="1" displayFolder="" measureGroup="Institute_ranking" count="0" hidden="1">
      <extLst>
        <ext xmlns:x15="http://schemas.microsoft.com/office/spreadsheetml/2010/11/main" uri="{B97F6D7D-B522-45F9-BDA1-12C45D357490}">
          <x15:cacheHierarchy aggregatedColumn="6"/>
        </ext>
      </extLst>
    </cacheHierarchy>
    <cacheHierarchy uniqueName="[Measures].[Average of Score]" caption="Average of Score" measure="1" displayFolder="" measureGroup="Institute_ranking" count="0" hidden="1">
      <extLst>
        <ext xmlns:x15="http://schemas.microsoft.com/office/spreadsheetml/2010/11/main" uri="{B97F6D7D-B522-45F9-BDA1-12C45D357490}">
          <x15:cacheHierarchy aggregatedColumn="6"/>
        </ext>
      </extLst>
    </cacheHierarchy>
    <cacheHierarchy uniqueName="[Measures].[Count of Institute ID]" caption="Count of Institute ID" measure="1" displayFolder="" measureGroup="Institute_location" count="0" hidden="1">
      <extLst>
        <ext xmlns:x15="http://schemas.microsoft.com/office/spreadsheetml/2010/11/main" uri="{B97F6D7D-B522-45F9-BDA1-12C45D357490}">
          <x15:cacheHierarchy aggregatedColumn="2"/>
        </ext>
      </extLst>
    </cacheHierarchy>
    <cacheHierarchy uniqueName="[Measures].[Count of Institute ID 2]" caption="Count of Institute ID 2" measure="1" displayFolder="" measureGroup="Institute_details" count="0" hidden="1">
      <extLst>
        <ext xmlns:x15="http://schemas.microsoft.com/office/spreadsheetml/2010/11/main" uri="{B97F6D7D-B522-45F9-BDA1-12C45D357490}">
          <x15:cacheHierarchy aggregatedColumn="0"/>
        </ext>
      </extLst>
    </cacheHierarchy>
    <cacheHierarchy uniqueName="[Measures].[Count of Name]" caption="Count of Name" measure="1" displayFolder="" measureGroup="Institute_details" count="0" hidden="1">
      <extLst>
        <ext xmlns:x15="http://schemas.microsoft.com/office/spreadsheetml/2010/11/main" uri="{B97F6D7D-B522-45F9-BDA1-12C45D357490}">
          <x15:cacheHierarchy aggregatedColumn="1"/>
        </ext>
      </extLst>
    </cacheHierarchy>
    <cacheHierarchy uniqueName="[Measures].[Count of Rank - Copy]" caption="Count of Rank - Copy" measure="1" displayFolder="" measureGroup="Institute_ranking" count="0" hidden="1">
      <extLst>
        <ext xmlns:x15="http://schemas.microsoft.com/office/spreadsheetml/2010/11/main" uri="{B97F6D7D-B522-45F9-BDA1-12C45D357490}">
          <x15:cacheHierarchy aggregatedColumn="9"/>
        </ext>
      </extLst>
    </cacheHierarchy>
    <cacheHierarchy uniqueName="[Measures].[Distinct Count of Rank - Copy]" caption="Distinct Count of Rank - Copy" measure="1" displayFolder="" measureGroup="Institute_ranking" count="0" hidden="1">
      <extLst>
        <ext xmlns:x15="http://schemas.microsoft.com/office/spreadsheetml/2010/11/main" uri="{B97F6D7D-B522-45F9-BDA1-12C45D357490}">
          <x15:cacheHierarchy aggregatedColumn="9"/>
        </ext>
      </extLst>
    </cacheHierarchy>
    <cacheHierarchy uniqueName="[Measures].[Max of Score]" caption="Max of Score" measure="1" displayFolder="" measureGroup="Institute_ranking" count="0" hidden="1">
      <extLst>
        <ext xmlns:x15="http://schemas.microsoft.com/office/spreadsheetml/2010/11/main" uri="{B97F6D7D-B522-45F9-BDA1-12C45D357490}">
          <x15:cacheHierarchy aggregatedColumn="6"/>
        </ext>
      </extLst>
    </cacheHierarchy>
    <cacheHierarchy uniqueName="[Measures].[Distinct Count of Rank]" caption="Distinct Count of Rank" measure="1" displayFolder="" measureGroup="Institute_ranking" count="0" hidden="1">
      <extLst>
        <ext xmlns:x15="http://schemas.microsoft.com/office/spreadsheetml/2010/11/main" uri="{B97F6D7D-B522-45F9-BDA1-12C45D357490}">
          <x15:cacheHierarchy aggregatedColumn="7"/>
        </ext>
      </extLst>
    </cacheHierarchy>
    <cacheHierarchy uniqueName="[Measures].[Sum of Institute_ranking.Rank]" caption="Sum of Institute_ranking.Rank" measure="1" displayFolder="" measureGroup="Merge1" count="0" hidden="1">
      <extLst>
        <ext xmlns:x15="http://schemas.microsoft.com/office/spreadsheetml/2010/11/main" uri="{B97F6D7D-B522-45F9-BDA1-12C45D357490}">
          <x15:cacheHierarchy aggregatedColumn="12"/>
        </ext>
      </extLst>
    </cacheHierarchy>
    <cacheHierarchy uniqueName="[Measures].[Count of Name 2]" caption="Count of Name 2" measure="1" displayFolder="" measureGroup="Merge1" count="0" hidden="1">
      <extLst>
        <ext xmlns:x15="http://schemas.microsoft.com/office/spreadsheetml/2010/11/main" uri="{B97F6D7D-B522-45F9-BDA1-12C45D357490}">
          <x15:cacheHierarchy aggregatedColumn="13"/>
        </ext>
      </extLst>
    </cacheHierarchy>
  </cacheHierarchies>
  <kpis count="0"/>
  <dimensions count="5">
    <dimension name="Institute_details" uniqueName="[Institute_details]" caption="Institute_details"/>
    <dimension name="Institute_location" uniqueName="[Institute_location]" caption="Institute_location"/>
    <dimension name="Institute_ranking" uniqueName="[Institute_ranking]" caption="Institute_ranking"/>
    <dimension measure="1" name="Measures" uniqueName="[Measures]" caption="Measures"/>
    <dimension name="Merge1" uniqueName="[Merge1]" caption="Merge1"/>
  </dimensions>
  <measureGroups count="4">
    <measureGroup name="Institute_details" caption="Institute_details"/>
    <measureGroup name="Institute_location" caption="Institute_location"/>
    <measureGroup name="Institute_ranking" caption="Institute_ranking"/>
    <measureGroup name="Merge1" caption="Merge1"/>
  </measureGroups>
  <maps count="6">
    <map measureGroup="0" dimension="0"/>
    <map measureGroup="0" dimension="1"/>
    <map measureGroup="0" dimension="2"/>
    <map measureGroup="1" dimension="1"/>
    <map measureGroup="2" dimension="2"/>
    <map measureGroup="3" dimension="4"/>
  </maps>
  <extLst>
    <ext xmlns:x14="http://schemas.microsoft.com/office/spreadsheetml/2009/9/main" uri="{725AE2AE-9491-48be-B2B4-4EB974FC3084}">
      <x14:pivotCacheDefinition slicerData="1" pivotCacheId="109276223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C105C5B-758E-47C2-845E-BB22F1473793}" name="PivotTable1" cacheId="2" applyNumberFormats="0" applyBorderFormats="0" applyFontFormats="0" applyPatternFormats="0" applyAlignmentFormats="0" applyWidthHeightFormats="1" dataCaption="Values" tag="e725edc6-912a-493c-9310-555ab941dcf3" updatedVersion="8" minRefreshableVersion="3" useAutoFormatting="1" itemPrintTitles="1" createdVersion="5" indent="0" outline="1" outlineData="1" multipleFieldFilters="0" chartFormat="18">
  <location ref="B3:C26" firstHeaderRow="1" firstDataRow="1" firstDataCol="1"/>
  <pivotFields count="2">
    <pivotField axis="axisRow" allDrilled="1" subtotalTop="0" showAll="0" dataSourceSort="1" defaultSubtotal="0" defaultAttributeDrillState="1">
      <items count="22">
        <item x="0"/>
        <item x="1"/>
        <item x="2"/>
        <item x="3"/>
        <item x="4"/>
        <item x="5"/>
        <item x="6"/>
        <item x="7"/>
        <item x="8"/>
        <item x="9"/>
        <item x="10"/>
        <item x="11"/>
        <item x="12"/>
        <item x="13"/>
        <item x="14"/>
        <item x="15"/>
        <item x="16"/>
        <item x="17"/>
        <item x="18"/>
        <item x="19"/>
        <item x="20"/>
        <item x="21"/>
      </items>
    </pivotField>
    <pivotField dataField="1" subtotalTop="0" showAll="0" defaultSubtotal="0"/>
  </pivotFields>
  <rowFields count="1">
    <field x="0"/>
  </rowFields>
  <rowItems count="23">
    <i>
      <x/>
    </i>
    <i>
      <x v="1"/>
    </i>
    <i>
      <x v="2"/>
    </i>
    <i>
      <x v="3"/>
    </i>
    <i>
      <x v="4"/>
    </i>
    <i>
      <x v="5"/>
    </i>
    <i>
      <x v="6"/>
    </i>
    <i>
      <x v="7"/>
    </i>
    <i>
      <x v="8"/>
    </i>
    <i>
      <x v="9"/>
    </i>
    <i>
      <x v="10"/>
    </i>
    <i>
      <x v="11"/>
    </i>
    <i>
      <x v="12"/>
    </i>
    <i>
      <x v="13"/>
    </i>
    <i>
      <x v="14"/>
    </i>
    <i>
      <x v="15"/>
    </i>
    <i>
      <x v="16"/>
    </i>
    <i>
      <x v="17"/>
    </i>
    <i>
      <x v="18"/>
    </i>
    <i>
      <x v="19"/>
    </i>
    <i>
      <x v="20"/>
    </i>
    <i>
      <x v="21"/>
    </i>
    <i t="grand">
      <x/>
    </i>
  </rowItems>
  <colItems count="1">
    <i/>
  </colItems>
  <dataFields count="1">
    <dataField name="Average of Score" fld="1" subtotal="average" baseField="0" baseItem="0" numFmtId="2"/>
  </dataFields>
  <formats count="1">
    <format dxfId="14">
      <pivotArea outline="0" collapsedLevelsAreSubtotals="1" fieldPosition="0"/>
    </format>
  </formats>
  <chartFormats count="4">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0" count="1" selected="0">
            <x v="12"/>
          </reference>
        </references>
      </pivotArea>
    </chartFormat>
    <chartFormat chart="9" format="3" series="1">
      <pivotArea type="data" outline="0" fieldPosition="0">
        <references count="1">
          <reference field="4294967294" count="1" selected="0">
            <x v="0"/>
          </reference>
        </references>
      </pivotArea>
    </chartFormat>
    <chartFormat chart="17" format="5" series="1">
      <pivotArea type="data" outline="0" fieldPosition="0">
        <references count="1">
          <reference field="4294967294" count="1" selected="0">
            <x v="0"/>
          </reference>
        </references>
      </pivotArea>
    </chartFormat>
  </chartFormats>
  <pivotHierarchies count="3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Average of Rank"/>
    <pivotHierarchy dragToData="1"/>
    <pivotHierarchy dragToData="1" caption="Average of Score"/>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Institute_location]"/>
        <x15:activeTabTopLevelEntity name="[Institute_ranking]"/>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7606982-AFE9-4427-90CE-2826EE214505}" name="PivotTable4" cacheId="7" applyNumberFormats="0" applyBorderFormats="0" applyFontFormats="0" applyPatternFormats="0" applyAlignmentFormats="0" applyWidthHeightFormats="1" dataCaption="Values" tag="c9fb30e1-0734-4b9c-9c4f-061eff858100" updatedVersion="8" minRefreshableVersion="3" useAutoFormatting="1" subtotalHiddenItems="1" itemPrintTitles="1" createdVersion="5" indent="0" outline="1" outlineData="1" multipleFieldFilters="0" chartFormat="9">
  <location ref="AE4:AF27" firstHeaderRow="1" firstDataRow="1" firstDataCol="1"/>
  <pivotFields count="3">
    <pivotField allDrilled="1" subtotalTop="0" showAll="0" measureFilter="1" dataSourceSort="1" defaultSubtotal="0" defaultAttributeDrillState="1"/>
    <pivotField dataField="1" subtotalTop="0" showAll="0" defaultSubtotal="0"/>
    <pivotField axis="axisRow" allDrilled="1" subtotalTop="0" showAll="0" dataSourceSort="1" defaultSubtotal="0" defaultAttributeDrillState="1">
      <items count="22">
        <item x="0"/>
        <item x="1"/>
        <item x="2"/>
        <item x="3"/>
        <item x="4"/>
        <item x="5"/>
        <item x="6"/>
        <item x="7"/>
        <item x="8"/>
        <item x="9"/>
        <item x="10"/>
        <item x="11"/>
        <item x="12"/>
        <item x="13"/>
        <item x="14"/>
        <item x="15"/>
        <item x="16"/>
        <item x="17"/>
        <item x="18"/>
        <item x="19"/>
        <item x="20"/>
        <item x="21"/>
      </items>
    </pivotField>
  </pivotFields>
  <rowFields count="1">
    <field x="2"/>
  </rowFields>
  <rowItems count="23">
    <i>
      <x/>
    </i>
    <i>
      <x v="1"/>
    </i>
    <i>
      <x v="2"/>
    </i>
    <i>
      <x v="3"/>
    </i>
    <i>
      <x v="4"/>
    </i>
    <i>
      <x v="5"/>
    </i>
    <i>
      <x v="6"/>
    </i>
    <i>
      <x v="7"/>
    </i>
    <i>
      <x v="8"/>
    </i>
    <i>
      <x v="9"/>
    </i>
    <i>
      <x v="10"/>
    </i>
    <i>
      <x v="11"/>
    </i>
    <i>
      <x v="12"/>
    </i>
    <i>
      <x v="13"/>
    </i>
    <i>
      <x v="14"/>
    </i>
    <i>
      <x v="15"/>
    </i>
    <i>
      <x v="16"/>
    </i>
    <i>
      <x v="17"/>
    </i>
    <i>
      <x v="18"/>
    </i>
    <i>
      <x v="19"/>
    </i>
    <i>
      <x v="20"/>
    </i>
    <i>
      <x v="21"/>
    </i>
    <i t="grand">
      <x/>
    </i>
  </rowItems>
  <colItems count="1">
    <i/>
  </colItems>
  <dataFields count="1">
    <dataField name="Average of Score" fld="1" subtotal="average" baseField="0" baseItem="0"/>
  </dataFields>
  <formats count="1">
    <format dxfId="15">
      <pivotArea dataOnly="0" labelOnly="1" outline="0" fieldPosition="0">
        <references count="1">
          <reference field="4294967294" count="1">
            <x v="0"/>
          </reference>
        </references>
      </pivotArea>
    </format>
  </formats>
  <chartFormats count="1">
    <chartFormat chart="0" format="0" series="1">
      <pivotArea type="data" outline="0" fieldPosition="0">
        <references count="1">
          <reference field="4294967294" count="1" selected="0">
            <x v="0"/>
          </reference>
        </references>
      </pivotArea>
    </chartFormat>
  </chartFormats>
  <pivotHierarchies count="3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Score"/>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evalOrder="-1" id="3" iMeasureHier="22">
      <autoFilter ref="A1">
        <filterColumn colId="0">
          <top10 val="5" filterVal="5"/>
        </filterColumn>
      </autoFilter>
    </filter>
  </filters>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Institute_ranking]"/>
        <x15:activeTabTopLevelEntity name="[Institute_details]"/>
        <x15:activeTabTopLevelEntity name="[Institute_loca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FF17B6A-0A9A-45C1-ADCA-E29F479A8DE9}" name="PivotTable5"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8">
  <location ref="AO5:AU12" firstHeaderRow="1" firstDataRow="2" firstDataCol="1"/>
  <pivotFields count="3">
    <pivotField axis="axisCol" allDrilled="1" subtotalTop="0" showAll="0" measureFilter="1" dataSourceSort="1" defaultSubtotal="0" defaultAttributeDrillState="1">
      <items count="5">
        <item x="0"/>
        <item x="1"/>
        <item x="2"/>
        <item x="3"/>
        <item x="4"/>
      </items>
    </pivotField>
    <pivotField axis="axisRow" allDrilled="1" subtotalTop="0" showAll="0" dataSourceSort="1" defaultSubtotal="0" defaultAttributeDrillState="1">
      <items count="5">
        <item x="0"/>
        <item x="1"/>
        <item x="2"/>
        <item x="3"/>
        <item x="4"/>
      </items>
    </pivotField>
    <pivotField dataField="1" subtotalTop="0" showAll="0" defaultSubtotal="0"/>
  </pivotFields>
  <rowFields count="1">
    <field x="1"/>
  </rowFields>
  <rowItems count="6">
    <i>
      <x/>
    </i>
    <i>
      <x v="1"/>
    </i>
    <i>
      <x v="2"/>
    </i>
    <i>
      <x v="3"/>
    </i>
    <i>
      <x v="4"/>
    </i>
    <i t="grand">
      <x/>
    </i>
  </rowItems>
  <colFields count="1">
    <field x="0"/>
  </colFields>
  <colItems count="6">
    <i>
      <x/>
    </i>
    <i>
      <x v="1"/>
    </i>
    <i>
      <x v="2"/>
    </i>
    <i>
      <x v="3"/>
    </i>
    <i>
      <x v="4"/>
    </i>
    <i t="grand">
      <x/>
    </i>
  </colItems>
  <dataFields count="1">
    <dataField name="Sum of Score" fld="2" baseField="0" baseItem="0"/>
  </dataFields>
  <chartFormats count="20">
    <chartFormat chart="0" format="111" series="1">
      <pivotArea type="data" outline="0" fieldPosition="0">
        <references count="1">
          <reference field="0" count="1" selected="0">
            <x v="0"/>
          </reference>
        </references>
      </pivotArea>
    </chartFormat>
    <chartFormat chart="0" format="112" series="1">
      <pivotArea type="data" outline="0" fieldPosition="0">
        <references count="1">
          <reference field="0" count="1" selected="0">
            <x v="1"/>
          </reference>
        </references>
      </pivotArea>
    </chartFormat>
    <chartFormat chart="0" format="113" series="1">
      <pivotArea type="data" outline="0" fieldPosition="0">
        <references count="1">
          <reference field="0" count="1" selected="0">
            <x v="2"/>
          </reference>
        </references>
      </pivotArea>
    </chartFormat>
    <chartFormat chart="0" format="114" series="1">
      <pivotArea type="data" outline="0" fieldPosition="0">
        <references count="1">
          <reference field="0" count="1" selected="0">
            <x v="3"/>
          </reference>
        </references>
      </pivotArea>
    </chartFormat>
    <chartFormat chart="0" format="115" series="1">
      <pivotArea type="data" outline="0" fieldPosition="0">
        <references count="1">
          <reference field="0" count="1" selected="0">
            <x v="4"/>
          </reference>
        </references>
      </pivotArea>
    </chartFormat>
    <chartFormat chart="0" format="116" series="1">
      <pivotArea type="data" outline="0" fieldPosition="0">
        <references count="2">
          <reference field="4294967294" count="1" selected="0">
            <x v="0"/>
          </reference>
          <reference field="0" count="1" selected="0">
            <x v="0"/>
          </reference>
        </references>
      </pivotArea>
    </chartFormat>
    <chartFormat chart="0" format="117" series="1">
      <pivotArea type="data" outline="0" fieldPosition="0">
        <references count="2">
          <reference field="4294967294" count="1" selected="0">
            <x v="0"/>
          </reference>
          <reference field="0" count="1" selected="0">
            <x v="1"/>
          </reference>
        </references>
      </pivotArea>
    </chartFormat>
    <chartFormat chart="0" format="118" series="1">
      <pivotArea type="data" outline="0" fieldPosition="0">
        <references count="2">
          <reference field="4294967294" count="1" selected="0">
            <x v="0"/>
          </reference>
          <reference field="0" count="1" selected="0">
            <x v="2"/>
          </reference>
        </references>
      </pivotArea>
    </chartFormat>
    <chartFormat chart="0" format="119" series="1">
      <pivotArea type="data" outline="0" fieldPosition="0">
        <references count="2">
          <reference field="4294967294" count="1" selected="0">
            <x v="0"/>
          </reference>
          <reference field="0" count="1" selected="0">
            <x v="3"/>
          </reference>
        </references>
      </pivotArea>
    </chartFormat>
    <chartFormat chart="0" format="120" series="1">
      <pivotArea type="data" outline="0" fieldPosition="0">
        <references count="2">
          <reference field="4294967294" count="1" selected="0">
            <x v="0"/>
          </reference>
          <reference field="0" count="1" selected="0">
            <x v="4"/>
          </reference>
        </references>
      </pivotArea>
    </chartFormat>
    <chartFormat chart="21" format="126" series="1">
      <pivotArea type="data" outline="0" fieldPosition="0">
        <references count="2">
          <reference field="4294967294" count="1" selected="0">
            <x v="0"/>
          </reference>
          <reference field="0" count="1" selected="0">
            <x v="0"/>
          </reference>
        </references>
      </pivotArea>
    </chartFormat>
    <chartFormat chart="21" format="127" series="1">
      <pivotArea type="data" outline="0" fieldPosition="0">
        <references count="2">
          <reference field="4294967294" count="1" selected="0">
            <x v="0"/>
          </reference>
          <reference field="0" count="1" selected="0">
            <x v="1"/>
          </reference>
        </references>
      </pivotArea>
    </chartFormat>
    <chartFormat chart="21" format="128" series="1">
      <pivotArea type="data" outline="0" fieldPosition="0">
        <references count="2">
          <reference field="4294967294" count="1" selected="0">
            <x v="0"/>
          </reference>
          <reference field="0" count="1" selected="0">
            <x v="2"/>
          </reference>
        </references>
      </pivotArea>
    </chartFormat>
    <chartFormat chart="21" format="129" series="1">
      <pivotArea type="data" outline="0" fieldPosition="0">
        <references count="2">
          <reference field="4294967294" count="1" selected="0">
            <x v="0"/>
          </reference>
          <reference field="0" count="1" selected="0">
            <x v="3"/>
          </reference>
        </references>
      </pivotArea>
    </chartFormat>
    <chartFormat chart="21" format="130" series="1">
      <pivotArea type="data" outline="0" fieldPosition="0">
        <references count="2">
          <reference field="4294967294" count="1" selected="0">
            <x v="0"/>
          </reference>
          <reference field="0" count="1" selected="0">
            <x v="4"/>
          </reference>
        </references>
      </pivotArea>
    </chartFormat>
    <chartFormat chart="27" format="136" series="1">
      <pivotArea type="data" outline="0" fieldPosition="0">
        <references count="2">
          <reference field="4294967294" count="1" selected="0">
            <x v="0"/>
          </reference>
          <reference field="0" count="1" selected="0">
            <x v="0"/>
          </reference>
        </references>
      </pivotArea>
    </chartFormat>
    <chartFormat chart="27" format="137" series="1">
      <pivotArea type="data" outline="0" fieldPosition="0">
        <references count="2">
          <reference field="4294967294" count="1" selected="0">
            <x v="0"/>
          </reference>
          <reference field="0" count="1" selected="0">
            <x v="1"/>
          </reference>
        </references>
      </pivotArea>
    </chartFormat>
    <chartFormat chart="27" format="138" series="1">
      <pivotArea type="data" outline="0" fieldPosition="0">
        <references count="2">
          <reference field="4294967294" count="1" selected="0">
            <x v="0"/>
          </reference>
          <reference field="0" count="1" selected="0">
            <x v="2"/>
          </reference>
        </references>
      </pivotArea>
    </chartFormat>
    <chartFormat chart="27" format="139" series="1">
      <pivotArea type="data" outline="0" fieldPosition="0">
        <references count="2">
          <reference field="4294967294" count="1" selected="0">
            <x v="0"/>
          </reference>
          <reference field="0" count="1" selected="0">
            <x v="3"/>
          </reference>
        </references>
      </pivotArea>
    </chartFormat>
    <chartFormat chart="27" format="140" series="1">
      <pivotArea type="data" outline="0" fieldPosition="0">
        <references count="2">
          <reference field="4294967294" count="1" selected="0">
            <x v="0"/>
          </reference>
          <reference field="0" count="1" selected="0">
            <x v="4"/>
          </reference>
        </references>
      </pivotArea>
    </chartFormat>
  </chartFormats>
  <pivotHierarchies count="3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3" iMeasureHier="22">
      <autoFilter ref="A1">
        <filterColumn colId="0">
          <top10 val="5" filterVal="5"/>
        </filterColumn>
      </autoFilter>
    </filter>
  </filters>
  <rowHierarchiesUsage count="1">
    <rowHierarchyUsage hierarchyUsage="12"/>
  </rowHierarchiesUsage>
  <colHierarchiesUsage count="1">
    <colHierarchyUsage hierarchyUsage="1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erge1]"/>
        <x15:activeTabTopLevelEntity name="[Institute_ranking]"/>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CA2E9B2-C5C5-4010-9231-E9E6A6FD846F}" name="PivotTable3" cacheId="0" applyNumberFormats="0" applyBorderFormats="0" applyFontFormats="0" applyPatternFormats="0" applyAlignmentFormats="0" applyWidthHeightFormats="1" dataCaption="Values" tag="190f3b5f-cc56-454d-a68a-9a33fe28b433" updatedVersion="8" minRefreshableVersion="3" useAutoFormatting="1" itemPrintTitles="1" createdVersion="5" indent="0" outline="1" outlineData="1" multipleFieldFilters="0" chartFormat="15">
  <location ref="U4:V9" firstHeaderRow="1" firstDataRow="1" firstDataCol="1"/>
  <pivotFields count="2">
    <pivotField axis="axisRow" allDrilled="1" subtotalTop="0" showAll="0" dataSourceSort="1" defaultSubtotal="0" defaultAttributeDrillState="1">
      <items count="4">
        <item x="0"/>
        <item x="1"/>
        <item x="2"/>
        <item x="3"/>
      </items>
    </pivotField>
    <pivotField dataField="1" subtotalTop="0" showAll="0" defaultSubtotal="0"/>
  </pivotFields>
  <rowFields count="1">
    <field x="0"/>
  </rowFields>
  <rowItems count="5">
    <i>
      <x/>
    </i>
    <i>
      <x v="1"/>
    </i>
    <i>
      <x v="2"/>
    </i>
    <i>
      <x v="3"/>
    </i>
    <i t="grand">
      <x/>
    </i>
  </rowItems>
  <colItems count="1">
    <i/>
  </colItems>
  <dataFields count="1">
    <dataField name="Count of Institute ID" fld="1" subtotal="count" baseField="0" baseItem="0"/>
  </dataFields>
  <chartFormats count="16">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0" count="1" selected="0">
            <x v="1"/>
          </reference>
        </references>
      </pivotArea>
    </chartFormat>
    <chartFormat chart="2" format="2">
      <pivotArea type="data" outline="0" fieldPosition="0">
        <references count="2">
          <reference field="4294967294" count="1" selected="0">
            <x v="0"/>
          </reference>
          <reference field="0" count="1" selected="0">
            <x v="0"/>
          </reference>
        </references>
      </pivotArea>
    </chartFormat>
    <chartFormat chart="2" format="3">
      <pivotArea type="data" outline="0" fieldPosition="0">
        <references count="2">
          <reference field="4294967294" count="1" selected="0">
            <x v="0"/>
          </reference>
          <reference field="0" count="1" selected="0">
            <x v="2"/>
          </reference>
        </references>
      </pivotArea>
    </chartFormat>
    <chartFormat chart="2" format="4">
      <pivotArea type="data" outline="0" fieldPosition="0">
        <references count="2">
          <reference field="4294967294" count="1" selected="0">
            <x v="0"/>
          </reference>
          <reference field="0" count="1" selected="0">
            <x v="3"/>
          </reference>
        </references>
      </pivotArea>
    </chartFormat>
    <chartFormat chart="12" format="10" series="1">
      <pivotArea type="data" outline="0" fieldPosition="0">
        <references count="1">
          <reference field="4294967294" count="1" selected="0">
            <x v="0"/>
          </reference>
        </references>
      </pivotArea>
    </chartFormat>
    <chartFormat chart="12" format="11">
      <pivotArea type="data" outline="0" fieldPosition="0">
        <references count="2">
          <reference field="4294967294" count="1" selected="0">
            <x v="0"/>
          </reference>
          <reference field="0" count="1" selected="0">
            <x v="0"/>
          </reference>
        </references>
      </pivotArea>
    </chartFormat>
    <chartFormat chart="12" format="12">
      <pivotArea type="data" outline="0" fieldPosition="0">
        <references count="2">
          <reference field="4294967294" count="1" selected="0">
            <x v="0"/>
          </reference>
          <reference field="0" count="1" selected="0">
            <x v="1"/>
          </reference>
        </references>
      </pivotArea>
    </chartFormat>
    <chartFormat chart="12" format="13">
      <pivotArea type="data" outline="0" fieldPosition="0">
        <references count="2">
          <reference field="4294967294" count="1" selected="0">
            <x v="0"/>
          </reference>
          <reference field="0" count="1" selected="0">
            <x v="2"/>
          </reference>
        </references>
      </pivotArea>
    </chartFormat>
    <chartFormat chart="12" format="14">
      <pivotArea type="data" outline="0" fieldPosition="0">
        <references count="2">
          <reference field="4294967294" count="1" selected="0">
            <x v="0"/>
          </reference>
          <reference field="0" count="1" selected="0">
            <x v="3"/>
          </reference>
        </references>
      </pivotArea>
    </chartFormat>
    <chartFormat chart="14" format="20" series="1">
      <pivotArea type="data" outline="0" fieldPosition="0">
        <references count="1">
          <reference field="4294967294" count="1" selected="0">
            <x v="0"/>
          </reference>
        </references>
      </pivotArea>
    </chartFormat>
    <chartFormat chart="14" format="21">
      <pivotArea type="data" outline="0" fieldPosition="0">
        <references count="2">
          <reference field="4294967294" count="1" selected="0">
            <x v="0"/>
          </reference>
          <reference field="0" count="1" selected="0">
            <x v="0"/>
          </reference>
        </references>
      </pivotArea>
    </chartFormat>
    <chartFormat chart="14" format="22">
      <pivotArea type="data" outline="0" fieldPosition="0">
        <references count="2">
          <reference field="4294967294" count="1" selected="0">
            <x v="0"/>
          </reference>
          <reference field="0" count="1" selected="0">
            <x v="1"/>
          </reference>
        </references>
      </pivotArea>
    </chartFormat>
    <chartFormat chart="14" format="23">
      <pivotArea type="data" outline="0" fieldPosition="0">
        <references count="2">
          <reference field="4294967294" count="1" selected="0">
            <x v="0"/>
          </reference>
          <reference field="0" count="1" selected="0">
            <x v="2"/>
          </reference>
        </references>
      </pivotArea>
    </chartFormat>
    <chartFormat chart="14" format="24">
      <pivotArea type="data" outline="0" fieldPosition="0">
        <references count="2">
          <reference field="4294967294" count="1" selected="0">
            <x v="0"/>
          </reference>
          <reference field="0" count="1" selected="0">
            <x v="3"/>
          </reference>
        </references>
      </pivotArea>
    </chartFormat>
  </chartFormats>
  <pivotHierarchies count="3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Institute_ranking]"/>
        <x15:activeTabTopLevelEntity name="[Institute_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5988417-BBB1-4A44-901C-B3259EA502DE}" name="PivotTable2" cacheId="1" applyNumberFormats="0" applyBorderFormats="0" applyFontFormats="0" applyPatternFormats="0" applyAlignmentFormats="0" applyWidthHeightFormats="1" dataCaption="Values" tag="10868868-24b7-4423-b547-9040481b2eba" updatedVersion="8" minRefreshableVersion="3" useAutoFormatting="1" itemPrintTitles="1" createdVersion="5" indent="0" outline="1" outlineData="1" multipleFieldFilters="0" chartFormat="7">
  <location ref="L3:M26" firstHeaderRow="1" firstDataRow="1" firstDataCol="1"/>
  <pivotFields count="2">
    <pivotField axis="axisRow" allDrilled="1" subtotalTop="0" showAll="0" dataSourceSort="1" defaultSubtotal="0" defaultAttributeDrillState="1">
      <items count="22">
        <item x="0"/>
        <item x="1"/>
        <item x="2"/>
        <item x="3"/>
        <item x="4"/>
        <item x="5"/>
        <item x="6"/>
        <item x="7"/>
        <item x="8"/>
        <item x="9"/>
        <item x="10"/>
        <item x="11"/>
        <item x="12"/>
        <item x="13"/>
        <item x="14"/>
        <item x="15"/>
        <item x="16"/>
        <item x="17"/>
        <item x="18"/>
        <item x="19"/>
        <item x="20"/>
        <item x="21"/>
      </items>
    </pivotField>
    <pivotField dataField="1" subtotalTop="0" showAll="0" defaultSubtotal="0"/>
  </pivotFields>
  <rowFields count="1">
    <field x="0"/>
  </rowFields>
  <rowItems count="23">
    <i>
      <x/>
    </i>
    <i>
      <x v="1"/>
    </i>
    <i>
      <x v="2"/>
    </i>
    <i>
      <x v="3"/>
    </i>
    <i>
      <x v="4"/>
    </i>
    <i>
      <x v="5"/>
    </i>
    <i>
      <x v="6"/>
    </i>
    <i>
      <x v="7"/>
    </i>
    <i>
      <x v="8"/>
    </i>
    <i>
      <x v="9"/>
    </i>
    <i>
      <x v="10"/>
    </i>
    <i>
      <x v="11"/>
    </i>
    <i>
      <x v="12"/>
    </i>
    <i>
      <x v="13"/>
    </i>
    <i>
      <x v="14"/>
    </i>
    <i>
      <x v="15"/>
    </i>
    <i>
      <x v="16"/>
    </i>
    <i>
      <x v="17"/>
    </i>
    <i>
      <x v="18"/>
    </i>
    <i>
      <x v="19"/>
    </i>
    <i>
      <x v="20"/>
    </i>
    <i>
      <x v="21"/>
    </i>
    <i t="grand">
      <x/>
    </i>
  </rowItems>
  <colItems count="1">
    <i/>
  </colItems>
  <dataFields count="1">
    <dataField name="Count of Institute ID" fld="1" subtotal="count" baseField="0" baseItem="0"/>
  </dataFields>
  <chartFormats count="3">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s>
  <pivotHierarchies count="3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Institute_location]"/>
        <x15:activeTabTopLevelEntity name="[Institute_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DE26D15-F111-456E-AF20-A38CF7EAE72C}" name="PivotTable8" cacheId="3" applyNumberFormats="0" applyBorderFormats="0" applyFontFormats="0" applyPatternFormats="0" applyAlignmentFormats="0" applyWidthHeightFormats="1" dataCaption="Values" tag="0c9ceaeb-16bd-49a4-ba7e-72c853b8ce2f" updatedVersion="8" minRefreshableVersion="3" useAutoFormatting="1" subtotalHiddenItems="1" itemPrintTitles="1" createdVersion="5" indent="0" outline="1" outlineData="1" multipleFieldFilters="0">
  <location ref="G4:G5" firstHeaderRow="1" firstDataRow="1" firstDataCol="0"/>
  <pivotFields count="1">
    <pivotField dataField="1" subtotalTop="0" showAll="0" defaultSubtotal="0"/>
  </pivotFields>
  <rowItems count="1">
    <i/>
  </rowItems>
  <colItems count="1">
    <i/>
  </colItems>
  <dataFields count="1">
    <dataField name="Average of Rank" fld="0" subtotal="average" baseField="0" baseItem="0" numFmtId="164"/>
  </dataFields>
  <pivotHierarchies count="3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Average of Rank"/>
    <pivotHierarchy dragToData="1"/>
    <pivotHierarchy dragToData="1" caption="Average of Score"/>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Institute_details]"/>
        <x15:activeTabTopLevelEntity name="[Institute_ranking]"/>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5CD0A0B-57B1-491C-95D4-D950980C5B4A}" name="PivotTable7" cacheId="4" applyNumberFormats="0" applyBorderFormats="0" applyFontFormats="0" applyPatternFormats="0" applyAlignmentFormats="0" applyWidthHeightFormats="1" dataCaption="Values" tag="0bf8bb25-5599-41aa-81af-6ca1d86c8d68" updatedVersion="8" minRefreshableVersion="3" useAutoFormatting="1" subtotalHiddenItems="1" itemPrintTitles="1" createdVersion="5" indent="0" outline="1" outlineData="1" multipleFieldFilters="0">
  <location ref="E4:E5" firstHeaderRow="1" firstDataRow="1" firstDataCol="0"/>
  <pivotFields count="1">
    <pivotField dataField="1" subtotalTop="0" showAll="0" defaultSubtotal="0"/>
  </pivotFields>
  <rowItems count="1">
    <i/>
  </rowItems>
  <colItems count="1">
    <i/>
  </colItems>
  <dataFields count="1">
    <dataField name="Average of Score" fld="0" subtotal="average" baseField="0" baseItem="0" numFmtId="164"/>
  </dataFields>
  <pivotHierarchies count="3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Score"/>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Institute_details]"/>
        <x15:activeTabTopLevelEntity name="[Institute_ranking]"/>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31CA6B3-DAD4-41F4-814F-E1E588EE88DE}" name="PivotTable6" cacheId="5" applyNumberFormats="0" applyBorderFormats="0" applyFontFormats="0" applyPatternFormats="0" applyAlignmentFormats="0" applyWidthHeightFormats="1" dataCaption="Values" tag="2bcff615-57ae-489f-b0cc-129958d58c32" updatedVersion="8" minRefreshableVersion="3" useAutoFormatting="1" itemPrintTitles="1" createdVersion="5" indent="0" outline="1" outlineData="1" multipleFieldFilters="0">
  <location ref="A4:A5" firstHeaderRow="1" firstDataRow="1" firstDataCol="0"/>
  <pivotFields count="1">
    <pivotField dataField="1" subtotalTop="0" showAll="0" defaultSubtotal="0"/>
  </pivotFields>
  <rowItems count="1">
    <i/>
  </rowItems>
  <colItems count="1">
    <i/>
  </colItems>
  <dataFields count="1">
    <dataField name="Count of Institute ID" fld="0" subtotal="count" baseField="0" baseItem="0"/>
  </dataFields>
  <pivotHierarchies count="3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Institute_detail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5" connectionId="4" xr16:uid="{7FDE9688-E0B2-4829-8B36-4A6D017F0863}" autoFormatId="16" applyNumberFormats="0" applyBorderFormats="0" applyFontFormats="0" applyPatternFormats="0" applyAlignmentFormats="0" applyWidthHeightFormats="0">
  <queryTableRefresh nextId="5">
    <queryTableFields count="4">
      <queryTableField id="1" name="Institute_ranking.Rank" tableColumnId="1"/>
      <queryTableField id="2" name="Name" tableColumnId="2"/>
      <queryTableField id="3" name="Institute_ranking.Score" tableColumnId="3"/>
      <queryTableField id="4" name="Institute ID" tableColumnId="4"/>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3" connectionId="3" xr16:uid="{9412FC45-3739-4C37-B9E5-9E7C728C737D}" autoFormatId="16" applyNumberFormats="0" applyBorderFormats="0" applyFontFormats="0" applyPatternFormats="0" applyAlignmentFormats="0" applyWidthHeightFormats="0">
  <queryTableRefresh nextId="7">
    <queryTableFields count="6">
      <queryTableField id="1" name="Institute ID" tableColumnId="1"/>
      <queryTableField id="2" name="Score" tableColumnId="2"/>
      <queryTableField id="3" name="Rank" tableColumnId="3"/>
      <queryTableField id="4" name="Grade" tableColumnId="4"/>
      <queryTableField id="5" name="Rank - Copy" tableColumnId="5"/>
      <queryTableField id="6" name="Score - Copy" tableColumnId="6"/>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2" connectionId="2" xr16:uid="{E191095D-F6C3-4ADF-AC28-312CE4415AAD}" autoFormatId="16" applyNumberFormats="0" applyBorderFormats="0" applyFontFormats="0" applyPatternFormats="0" applyAlignmentFormats="0" applyWidthHeightFormats="0">
  <queryTableRefresh nextId="4">
    <queryTableFields count="3">
      <queryTableField id="1" name="Institute ID" tableColumnId="1"/>
      <queryTableField id="2" name="City" tableColumnId="2"/>
      <queryTableField id="3" name="State" tableColumnId="3"/>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1" xr16:uid="{4C3DA745-5A42-48BD-B7E1-3D0989E258DD}" autoFormatId="16" applyNumberFormats="0" applyBorderFormats="0" applyFontFormats="0" applyPatternFormats="0" applyAlignmentFormats="0" applyWidthHeightFormats="0">
  <queryTableRefresh nextId="3">
    <queryTableFields count="2">
      <queryTableField id="1" name="Institute ID" tableColumnId="1"/>
      <queryTableField id="2" name="Name" tableColumnId="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rade" xr10:uid="{30BCBEC9-6456-4F70-A118-A690C80848A1}" sourceName="[Institute_ranking].[Grade]">
  <data>
    <olap pivotCacheId="1092762231">
      <levels count="2">
        <level uniqueName="[Institute_ranking].[Grade].[(All)]" sourceCaption="(All)" count="0"/>
        <level uniqueName="[Institute_ranking].[Grade].[Grade]" sourceCaption="Grade" count="4">
          <ranges>
            <range startItem="0">
              <i n="[Institute_ranking].[Grade].&amp;[A]" c="A"/>
              <i n="[Institute_ranking].[Grade].&amp;[C]" c="C"/>
              <i n="[Institute_ranking].[Grade].&amp;[D]" c="D"/>
              <i n="[Institute_ranking].[Grade].&amp;[F]" c="F"/>
            </range>
          </ranges>
        </level>
      </levels>
      <selections count="1">
        <selection n="[Institute_ranking].[Grad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1E6A4022-4C70-4CD5-927B-AD8466402859}" sourceName="[Institute_location].[State]">
  <data>
    <olap pivotCacheId="1092762231">
      <levels count="2">
        <level uniqueName="[Institute_location].[State].[(All)]" sourceCaption="(All)" count="0"/>
        <level uniqueName="[Institute_location].[State].[State]" sourceCaption="State" count="22">
          <ranges>
            <range startItem="0">
              <i n="[Institute_location].[State].&amp;[Andhra Pradesh]" c="Andhra Pradesh"/>
              <i n="[Institute_location].[State].&amp;[Assam]" c="Assam"/>
              <i n="[Institute_location].[State].&amp;[Chandigarh]" c="Chandigarh"/>
              <i n="[Institute_location].[State].&amp;[Delhi]" c="Delhi"/>
              <i n="[Institute_location].[State].&amp;[Gujarat]" c="Gujarat"/>
              <i n="[Institute_location].[State].&amp;[Haryana]" c="Haryana"/>
              <i n="[Institute_location].[State].&amp;[Himachal Pradesh]" c="Himachal Pradesh"/>
              <i n="[Institute_location].[State].&amp;[Jammu and Kashmir]" c="Jammu and Kashmir"/>
              <i n="[Institute_location].[State].&amp;[Jharkhand]" c="Jharkhand"/>
              <i n="[Institute_location].[State].&amp;[Karnataka]" c="Karnataka"/>
              <i n="[Institute_location].[State].&amp;[Kerala]" c="Kerala"/>
              <i n="[Institute_location].[State].&amp;[Maharashtra]" c="Maharashtra"/>
              <i n="[Institute_location].[State].&amp;[Mizoram]" c="Mizoram"/>
              <i n="[Institute_location].[State].&amp;[Odisha]" c="Odisha"/>
              <i n="[Institute_location].[State].&amp;[Pondicherry]" c="Pondicherry"/>
              <i n="[Institute_location].[State].&amp;[Punjab]" c="Punjab"/>
              <i n="[Institute_location].[State].&amp;[Rajasthan]" c="Rajasthan"/>
              <i n="[Institute_location].[State].&amp;[Tamil Nadu]" c="Tamil Nadu"/>
              <i n="[Institute_location].[State].&amp;[Telangana]" c="Telangana"/>
              <i n="[Institute_location].[State].&amp;[Uttar Pradesh]" c="Uttar Pradesh"/>
              <i n="[Institute_location].[State].&amp;[Uttarakhand]" c="Uttarakhand"/>
              <i n="[Institute_location].[State].&amp;[West Bengal]" c="West Bengal"/>
            </range>
          </ranges>
        </level>
      </levels>
      <selections count="1">
        <selection n="[Institute_location].[Stat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rade 1" xr10:uid="{63E3AC09-25A5-47D9-98FB-8B372ACBD8A9}" cache="Slicer_Grade" caption="Grade" columnCount="4" level="1" style="SlicerStyleOther1" rowHeight="234950"/>
  <slicer name="State 1" xr10:uid="{9A199591-501C-4D3B-AC44-F8FBED6C0BAB}" cache="Slicer_State" caption="State" level="1" style="SlicerStyleOther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rade" xr10:uid="{156297FD-CCFB-4D13-B6F0-3CF0176C0C5E}" cache="Slicer_Grade" caption="Grade" columnCount="4" level="1" style="SlicerStyleOther1" rowHeight="234950"/>
  <slicer name="State" xr10:uid="{2F566D74-037E-4AAF-8E2C-F85D6F6DEB43}" cache="Slicer_State" caption="State" level="1" style="SlicerStyleOther1"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893F7837-83E3-4A06-94BD-98F5D8B81493}" name="Merge1" displayName="Merge1" ref="A1:D101" tableType="queryTable" totalsRowShown="0">
  <autoFilter ref="A1:D101" xr:uid="{893F7837-83E3-4A06-94BD-98F5D8B81493}"/>
  <tableColumns count="4">
    <tableColumn id="1" xr3:uid="{DCA4A53B-CC5D-4B30-B39F-D3D5E032905C}" uniqueName="1" name="Institute_ranking.Rank" queryTableFieldId="1"/>
    <tableColumn id="2" xr3:uid="{67819C31-BE5C-4290-818A-F4712BEC830B}" uniqueName="2" name="Name" queryTableFieldId="2" dataDxfId="13"/>
    <tableColumn id="3" xr3:uid="{3EBBBEFC-95EA-4215-B359-FB5DE713B3C1}" uniqueName="3" name="Institute_ranking.Score" queryTableFieldId="3"/>
    <tableColumn id="4" xr3:uid="{8DC8402E-3621-412E-A0DD-77522CD961EB}" uniqueName="4" name="Institute ID" queryTableFieldId="4" dataDxfId="12"/>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CB028976-D497-4671-BF6F-B6E82ED8765D}" name="top_5_institute" displayName="top_5_institute" ref="A1:E101" totalsRowShown="0">
  <autoFilter ref="A1:E101" xr:uid="{CB028976-D497-4671-BF6F-B6E82ED8765D}"/>
  <tableColumns count="5">
    <tableColumn id="1" xr3:uid="{1F123E24-0606-4597-B001-4849659E1C3D}" name="Value.Rank"/>
    <tableColumn id="2" xr3:uid="{D65BD861-F7CC-45A1-A5CF-32D600231854}" name="Institute ID" dataDxfId="11"/>
    <tableColumn id="3" xr3:uid="{27306333-81C2-47A0-92EF-E679E857B7EF}" name="Name" dataDxfId="10"/>
    <tableColumn id="4" xr3:uid="{BA4B4746-3D18-40F3-B738-6A6353422F39}" name="Value.Grade"/>
    <tableColumn id="5" xr3:uid="{3FB01DEF-FC4C-49C9-BA2C-08A0E5AEA0E0}" name="Attribute" dataDxfId="9"/>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BF2A921-04CA-4357-B973-05027A81E502}" name="Institute_ranking" displayName="Institute_ranking" ref="A1:F101" tableType="queryTable" totalsRowShown="0">
  <autoFilter ref="A1:F101" xr:uid="{ABF2A921-04CA-4357-B973-05027A81E502}"/>
  <tableColumns count="6">
    <tableColumn id="1" xr3:uid="{58B34AB2-76DE-47F2-8CED-F265474CC97F}" uniqueName="1" name="Institute ID" queryTableFieldId="1" dataDxfId="8"/>
    <tableColumn id="2" xr3:uid="{E6392848-81A7-4284-9CC9-93B8E4CC2FC2}" uniqueName="2" name="Score" queryTableFieldId="2"/>
    <tableColumn id="3" xr3:uid="{D802D4E6-F034-413B-A459-DA85AFFC3160}" uniqueName="3" name="Rank" queryTableFieldId="3"/>
    <tableColumn id="4" xr3:uid="{5E569677-D558-40F3-9F2D-072A75CEDDFD}" uniqueName="4" name="Grade" queryTableFieldId="4"/>
    <tableColumn id="5" xr3:uid="{5D0C7270-6F6B-4E81-BDDE-F4E99E145344}" uniqueName="5" name="Rank - Copy" queryTableFieldId="5" dataDxfId="7"/>
    <tableColumn id="6" xr3:uid="{67009E70-1D78-4F83-9112-EB299D049A01}" uniqueName="6" name="Score - Copy" queryTableFieldId="6" dataDxfId="6"/>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434BC38-EA64-4572-A027-E00D109D0B2D}" name="Institute_location" displayName="Institute_location" ref="A1:C101" tableType="queryTable" totalsRowShown="0">
  <autoFilter ref="A1:C101" xr:uid="{3434BC38-EA64-4572-A027-E00D109D0B2D}"/>
  <tableColumns count="3">
    <tableColumn id="1" xr3:uid="{589C5A94-A47F-4B82-8CE6-E64C15569744}" uniqueName="1" name="Institute ID" queryTableFieldId="1" dataDxfId="5"/>
    <tableColumn id="2" xr3:uid="{1B3E2016-F5C7-434B-895A-0901D0D8BAFB}" uniqueName="2" name="City" queryTableFieldId="2" dataDxfId="4"/>
    <tableColumn id="3" xr3:uid="{6BB76F6C-0D7A-4E8D-91E8-31A73E884485}" uniqueName="3" name="State" queryTableFieldId="3" dataDxfId="3"/>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4278BFD-0973-4DC2-9DA3-B2292BE073AB}" name="Institute_details" displayName="Institute_details" ref="A1:B101" tableType="queryTable" totalsRowShown="0">
  <autoFilter ref="A1:B101" xr:uid="{24278BFD-0973-4DC2-9DA3-B2292BE073AB}"/>
  <tableColumns count="2">
    <tableColumn id="1" xr3:uid="{AE22AF7A-B753-43C1-A4BE-6D7C8AC10734}" uniqueName="1" name="Institute ID" queryTableFieldId="1" dataDxfId="2"/>
    <tableColumn id="2" xr3:uid="{7AD38B59-135D-4CE7-9234-0BCC8BEDFA78}" uniqueName="2" name="Name" queryTableFieldId="2" dataDxfId="1"/>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2.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1" Type="http://schemas.openxmlformats.org/officeDocument/2006/relationships/table" Target="../tables/table5.xml"/></Relationships>
</file>

<file path=xl/worksheets/_rels/sheet8.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 Id="rId4"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CE5300-075E-4E06-95D7-72BFFADD15CD}">
  <dimension ref="A1:X29"/>
  <sheetViews>
    <sheetView showGridLines="0" topLeftCell="B1" workbookViewId="0">
      <selection sqref="A1:X29"/>
    </sheetView>
  </sheetViews>
  <sheetFormatPr defaultRowHeight="14.4" x14ac:dyDescent="0.3"/>
  <sheetData>
    <row r="1" spans="1:24" x14ac:dyDescent="0.3">
      <c r="A1" s="8"/>
      <c r="B1" s="8"/>
      <c r="C1" s="8"/>
      <c r="D1" s="8"/>
      <c r="E1" s="8"/>
      <c r="F1" s="8"/>
      <c r="G1" s="8"/>
      <c r="H1" s="8"/>
      <c r="I1" s="8"/>
      <c r="J1" s="8"/>
      <c r="K1" s="8"/>
      <c r="L1" s="8"/>
      <c r="M1" s="8"/>
      <c r="N1" s="8"/>
      <c r="O1" s="8"/>
      <c r="P1" s="8"/>
      <c r="Q1" s="8"/>
      <c r="R1" s="8"/>
      <c r="S1" s="8"/>
      <c r="T1" s="8"/>
      <c r="U1" s="8"/>
      <c r="V1" s="8"/>
      <c r="W1" s="8"/>
      <c r="X1" s="8"/>
    </row>
    <row r="2" spans="1:24" x14ac:dyDescent="0.3">
      <c r="A2" s="8"/>
      <c r="B2" s="8"/>
      <c r="C2" s="8"/>
      <c r="D2" s="8"/>
      <c r="E2" s="8"/>
      <c r="F2" s="8"/>
      <c r="G2" s="8"/>
      <c r="H2" s="8"/>
      <c r="I2" s="8"/>
      <c r="J2" s="8"/>
      <c r="K2" s="8"/>
      <c r="L2" s="8"/>
      <c r="M2" s="8"/>
      <c r="N2" s="8"/>
      <c r="O2" s="8"/>
      <c r="P2" s="8"/>
      <c r="Q2" s="8"/>
      <c r="R2" s="8"/>
      <c r="S2" s="8"/>
      <c r="T2" s="8"/>
      <c r="U2" s="8"/>
      <c r="V2" s="8"/>
      <c r="W2" s="8"/>
      <c r="X2" s="8"/>
    </row>
    <row r="3" spans="1:24" x14ac:dyDescent="0.3">
      <c r="A3" s="8"/>
      <c r="B3" s="8"/>
      <c r="C3" s="8"/>
      <c r="D3" s="8"/>
      <c r="E3" s="8"/>
      <c r="F3" s="8"/>
      <c r="G3" s="8"/>
      <c r="H3" s="8"/>
      <c r="I3" s="8"/>
      <c r="J3" s="8"/>
      <c r="K3" s="8"/>
      <c r="L3" s="8"/>
      <c r="M3" s="8"/>
      <c r="N3" s="8"/>
      <c r="O3" s="8"/>
      <c r="P3" s="8"/>
      <c r="Q3" s="8"/>
      <c r="R3" s="8"/>
      <c r="S3" s="8"/>
      <c r="T3" s="8"/>
      <c r="U3" s="8"/>
      <c r="V3" s="8"/>
      <c r="W3" s="8"/>
      <c r="X3" s="8"/>
    </row>
    <row r="4" spans="1:24" x14ac:dyDescent="0.3">
      <c r="A4" s="8"/>
      <c r="B4" s="8"/>
      <c r="C4" s="8"/>
      <c r="D4" s="8"/>
      <c r="E4" s="8"/>
      <c r="F4" s="8"/>
      <c r="G4" s="8"/>
      <c r="H4" s="8"/>
      <c r="I4" s="8"/>
      <c r="J4" s="8"/>
      <c r="K4" s="8"/>
      <c r="L4" s="8"/>
      <c r="M4" s="8"/>
      <c r="N4" s="8"/>
      <c r="O4" s="8"/>
      <c r="P4" s="8"/>
      <c r="Q4" s="8"/>
      <c r="R4" s="8"/>
      <c r="S4" s="8"/>
      <c r="T4" s="8"/>
      <c r="U4" s="8"/>
      <c r="V4" s="8"/>
      <c r="W4" s="8"/>
      <c r="X4" s="8"/>
    </row>
    <row r="5" spans="1:24" x14ac:dyDescent="0.3">
      <c r="A5" s="8"/>
      <c r="B5" s="8"/>
      <c r="C5" s="8"/>
      <c r="D5" s="8"/>
      <c r="E5" s="8"/>
      <c r="F5" s="8"/>
      <c r="G5" s="8"/>
      <c r="H5" s="8"/>
      <c r="I5" s="8"/>
      <c r="J5" s="8"/>
      <c r="K5" s="8"/>
      <c r="L5" s="8"/>
      <c r="M5" s="8"/>
      <c r="N5" s="8"/>
      <c r="O5" s="8"/>
      <c r="P5" s="8"/>
      <c r="Q5" s="8"/>
      <c r="R5" s="8"/>
      <c r="S5" s="8"/>
      <c r="T5" s="8"/>
      <c r="U5" s="8"/>
      <c r="V5" s="8"/>
      <c r="W5" s="8"/>
      <c r="X5" s="8"/>
    </row>
    <row r="6" spans="1:24" x14ac:dyDescent="0.3">
      <c r="A6" s="8"/>
      <c r="B6" s="8"/>
      <c r="C6" s="8"/>
      <c r="D6" s="8"/>
      <c r="E6" s="8"/>
      <c r="F6" s="8"/>
      <c r="G6" s="8"/>
      <c r="H6" s="8"/>
      <c r="I6" s="8"/>
      <c r="J6" s="8"/>
      <c r="K6" s="8"/>
      <c r="L6" s="8"/>
      <c r="M6" s="8"/>
      <c r="N6" s="8"/>
      <c r="O6" s="8"/>
      <c r="P6" s="8"/>
      <c r="Q6" s="8"/>
      <c r="R6" s="8"/>
      <c r="S6" s="8"/>
      <c r="T6" s="8"/>
      <c r="U6" s="8"/>
      <c r="V6" s="8"/>
      <c r="W6" s="8"/>
      <c r="X6" s="8"/>
    </row>
    <row r="7" spans="1:24" x14ac:dyDescent="0.3">
      <c r="A7" s="8"/>
      <c r="B7" s="8"/>
      <c r="C7" s="8"/>
      <c r="D7" s="8"/>
      <c r="E7" s="8"/>
      <c r="F7" s="8"/>
      <c r="G7" s="8"/>
      <c r="H7" s="8"/>
      <c r="I7" s="8"/>
      <c r="J7" s="8"/>
      <c r="K7" s="8"/>
      <c r="L7" s="8"/>
      <c r="M7" s="8"/>
      <c r="N7" s="8"/>
      <c r="O7" s="8"/>
      <c r="P7" s="8"/>
      <c r="Q7" s="8"/>
      <c r="R7" s="8"/>
      <c r="S7" s="8"/>
      <c r="T7" s="8"/>
      <c r="U7" s="8"/>
      <c r="V7" s="8"/>
      <c r="W7" s="8"/>
      <c r="X7" s="8"/>
    </row>
    <row r="8" spans="1:24" x14ac:dyDescent="0.3">
      <c r="A8" s="8"/>
      <c r="B8" s="8"/>
      <c r="C8" s="8"/>
      <c r="D8" s="8"/>
      <c r="E8" s="8"/>
      <c r="F8" s="8"/>
      <c r="G8" s="8"/>
      <c r="H8" s="8"/>
      <c r="I8" s="8"/>
      <c r="J8" s="8"/>
      <c r="K8" s="8"/>
      <c r="L8" s="8"/>
      <c r="M8" s="8"/>
      <c r="N8" s="8"/>
      <c r="O8" s="8"/>
      <c r="P8" s="8"/>
      <c r="Q8" s="8"/>
      <c r="R8" s="8"/>
      <c r="S8" s="8"/>
      <c r="T8" s="8"/>
      <c r="U8" s="8"/>
      <c r="V8" s="8"/>
      <c r="W8" s="8"/>
      <c r="X8" s="8"/>
    </row>
    <row r="9" spans="1:24" x14ac:dyDescent="0.3">
      <c r="A9" s="8"/>
      <c r="B9" s="8"/>
      <c r="C9" s="8"/>
      <c r="D9" s="8"/>
      <c r="E9" s="8"/>
      <c r="F9" s="8"/>
      <c r="G9" s="8"/>
      <c r="H9" s="8"/>
      <c r="I9" s="8"/>
      <c r="J9" s="8"/>
      <c r="K9" s="8"/>
      <c r="L9" s="8"/>
      <c r="M9" s="8"/>
      <c r="N9" s="8"/>
      <c r="O9" s="8"/>
      <c r="P9" s="8"/>
      <c r="Q9" s="8"/>
      <c r="R9" s="8"/>
      <c r="S9" s="8"/>
      <c r="T9" s="8"/>
      <c r="U9" s="8"/>
      <c r="V9" s="8"/>
      <c r="W9" s="8"/>
      <c r="X9" s="8"/>
    </row>
    <row r="10" spans="1:24" x14ac:dyDescent="0.3">
      <c r="A10" s="8"/>
      <c r="B10" s="8"/>
      <c r="C10" s="8"/>
      <c r="D10" s="8"/>
      <c r="E10" s="8"/>
      <c r="F10" s="8"/>
      <c r="G10" s="8"/>
      <c r="H10" s="8"/>
      <c r="I10" s="8"/>
      <c r="J10" s="8"/>
      <c r="K10" s="8"/>
      <c r="L10" s="8"/>
      <c r="M10" s="8"/>
      <c r="N10" s="8"/>
      <c r="O10" s="8"/>
      <c r="P10" s="8"/>
      <c r="Q10" s="8"/>
      <c r="R10" s="8"/>
      <c r="S10" s="8"/>
      <c r="T10" s="8"/>
      <c r="U10" s="8"/>
      <c r="V10" s="8"/>
      <c r="W10" s="8"/>
      <c r="X10" s="8"/>
    </row>
    <row r="11" spans="1:24" x14ac:dyDescent="0.3">
      <c r="A11" s="8"/>
      <c r="B11" s="8"/>
      <c r="C11" s="8"/>
      <c r="D11" s="8"/>
      <c r="E11" s="8"/>
      <c r="F11" s="8"/>
      <c r="G11" s="8"/>
      <c r="H11" s="8"/>
      <c r="I11" s="8"/>
      <c r="J11" s="8"/>
      <c r="K11" s="8"/>
      <c r="L11" s="8"/>
      <c r="M11" s="8"/>
      <c r="N11" s="8"/>
      <c r="O11" s="8"/>
      <c r="P11" s="8"/>
      <c r="Q11" s="8"/>
      <c r="R11" s="8"/>
      <c r="S11" s="8"/>
      <c r="T11" s="8"/>
      <c r="U11" s="8"/>
      <c r="V11" s="8"/>
      <c r="W11" s="8"/>
      <c r="X11" s="8"/>
    </row>
    <row r="12" spans="1:24" x14ac:dyDescent="0.3">
      <c r="A12" s="8"/>
      <c r="B12" s="8"/>
      <c r="C12" s="8"/>
      <c r="D12" s="8"/>
      <c r="E12" s="8"/>
      <c r="F12" s="8"/>
      <c r="G12" s="8"/>
      <c r="H12" s="8"/>
      <c r="I12" s="8"/>
      <c r="J12" s="8"/>
      <c r="K12" s="8"/>
      <c r="L12" s="8"/>
      <c r="M12" s="8"/>
      <c r="N12" s="8"/>
      <c r="O12" s="8"/>
      <c r="P12" s="8"/>
      <c r="Q12" s="8"/>
      <c r="R12" s="8"/>
      <c r="S12" s="8"/>
      <c r="T12" s="8"/>
      <c r="U12" s="8"/>
      <c r="V12" s="8"/>
      <c r="W12" s="8"/>
      <c r="X12" s="8"/>
    </row>
    <row r="13" spans="1:24" x14ac:dyDescent="0.3">
      <c r="A13" s="8"/>
      <c r="B13" s="8"/>
      <c r="C13" s="8"/>
      <c r="D13" s="8"/>
      <c r="E13" s="8"/>
      <c r="F13" s="8"/>
      <c r="G13" s="8"/>
      <c r="H13" s="8"/>
      <c r="I13" s="8"/>
      <c r="J13" s="8"/>
      <c r="K13" s="8"/>
      <c r="L13" s="8"/>
      <c r="M13" s="8"/>
      <c r="N13" s="8"/>
      <c r="O13" s="8"/>
      <c r="P13" s="8"/>
      <c r="Q13" s="8"/>
      <c r="R13" s="8"/>
      <c r="S13" s="8"/>
      <c r="T13" s="8"/>
      <c r="U13" s="8"/>
      <c r="V13" s="8"/>
      <c r="W13" s="8"/>
      <c r="X13" s="8"/>
    </row>
    <row r="14" spans="1:24" x14ac:dyDescent="0.3">
      <c r="A14" s="8"/>
      <c r="B14" s="8"/>
      <c r="C14" s="8"/>
      <c r="D14" s="8"/>
      <c r="E14" s="8"/>
      <c r="F14" s="8"/>
      <c r="G14" s="8"/>
      <c r="H14" s="8"/>
      <c r="I14" s="8"/>
      <c r="J14" s="8"/>
      <c r="K14" s="8"/>
      <c r="L14" s="8"/>
      <c r="M14" s="8"/>
      <c r="N14" s="8"/>
      <c r="O14" s="8"/>
      <c r="P14" s="8"/>
      <c r="Q14" s="8"/>
      <c r="R14" s="8"/>
      <c r="S14" s="8"/>
      <c r="T14" s="8"/>
      <c r="U14" s="8"/>
      <c r="V14" s="8"/>
      <c r="W14" s="8"/>
      <c r="X14" s="8"/>
    </row>
    <row r="15" spans="1:24" x14ac:dyDescent="0.3">
      <c r="A15" s="8"/>
      <c r="B15" s="8"/>
      <c r="C15" s="8"/>
      <c r="D15" s="8"/>
      <c r="E15" s="8"/>
      <c r="F15" s="8"/>
      <c r="G15" s="8"/>
      <c r="H15" s="8"/>
      <c r="I15" s="8"/>
      <c r="J15" s="8"/>
      <c r="K15" s="8"/>
      <c r="L15" s="8"/>
      <c r="M15" s="8"/>
      <c r="N15" s="8"/>
      <c r="O15" s="8"/>
      <c r="P15" s="8"/>
      <c r="Q15" s="8"/>
      <c r="R15" s="8"/>
      <c r="S15" s="8"/>
      <c r="T15" s="8"/>
      <c r="U15" s="8"/>
      <c r="V15" s="8"/>
      <c r="W15" s="8"/>
      <c r="X15" s="8"/>
    </row>
    <row r="16" spans="1:24" x14ac:dyDescent="0.3">
      <c r="A16" s="8"/>
      <c r="B16" s="8"/>
      <c r="C16" s="8"/>
      <c r="D16" s="8"/>
      <c r="E16" s="8"/>
      <c r="F16" s="8"/>
      <c r="G16" s="8"/>
      <c r="H16" s="8"/>
      <c r="I16" s="8"/>
      <c r="J16" s="8"/>
      <c r="K16" s="8"/>
      <c r="L16" s="8"/>
      <c r="M16" s="8"/>
      <c r="N16" s="8"/>
      <c r="O16" s="8"/>
      <c r="P16" s="8"/>
      <c r="Q16" s="8"/>
      <c r="R16" s="8"/>
      <c r="S16" s="8"/>
      <c r="T16" s="8"/>
      <c r="U16" s="8"/>
      <c r="V16" s="8"/>
      <c r="W16" s="8"/>
      <c r="X16" s="8"/>
    </row>
    <row r="17" spans="1:24" x14ac:dyDescent="0.3">
      <c r="A17" s="8"/>
      <c r="B17" s="8"/>
      <c r="C17" s="8"/>
      <c r="D17" s="8"/>
      <c r="E17" s="8"/>
      <c r="F17" s="8"/>
      <c r="G17" s="8"/>
      <c r="H17" s="8"/>
      <c r="I17" s="8"/>
      <c r="J17" s="8"/>
      <c r="K17" s="8"/>
      <c r="L17" s="8"/>
      <c r="M17" s="8"/>
      <c r="N17" s="8"/>
      <c r="O17" s="8"/>
      <c r="P17" s="8"/>
      <c r="Q17" s="8"/>
      <c r="R17" s="8"/>
      <c r="S17" s="8"/>
      <c r="T17" s="8"/>
      <c r="U17" s="8"/>
      <c r="V17" s="8"/>
      <c r="W17" s="8"/>
      <c r="X17" s="8"/>
    </row>
    <row r="18" spans="1:24" x14ac:dyDescent="0.3">
      <c r="A18" s="8"/>
      <c r="B18" s="8"/>
      <c r="C18" s="8"/>
      <c r="D18" s="8"/>
      <c r="E18" s="8"/>
      <c r="F18" s="8"/>
      <c r="G18" s="8"/>
      <c r="H18" s="8"/>
      <c r="I18" s="8"/>
      <c r="J18" s="8"/>
      <c r="K18" s="8"/>
      <c r="L18" s="8"/>
      <c r="M18" s="8"/>
      <c r="N18" s="8"/>
      <c r="O18" s="8"/>
      <c r="P18" s="8"/>
      <c r="Q18" s="8"/>
      <c r="R18" s="8"/>
      <c r="S18" s="8"/>
      <c r="T18" s="8"/>
      <c r="U18" s="8"/>
      <c r="V18" s="8"/>
      <c r="W18" s="8"/>
      <c r="X18" s="8"/>
    </row>
    <row r="19" spans="1:24" x14ac:dyDescent="0.3">
      <c r="A19" s="8"/>
      <c r="B19" s="8"/>
      <c r="C19" s="8"/>
      <c r="D19" s="8"/>
      <c r="E19" s="8"/>
      <c r="F19" s="8"/>
      <c r="G19" s="8"/>
      <c r="H19" s="8"/>
      <c r="I19" s="8"/>
      <c r="J19" s="8"/>
      <c r="K19" s="8"/>
      <c r="L19" s="8"/>
      <c r="M19" s="8"/>
      <c r="N19" s="8"/>
      <c r="O19" s="8"/>
      <c r="P19" s="8"/>
      <c r="Q19" s="8"/>
      <c r="R19" s="8"/>
      <c r="S19" s="8"/>
      <c r="T19" s="8"/>
      <c r="U19" s="8"/>
      <c r="V19" s="8"/>
      <c r="W19" s="8"/>
      <c r="X19" s="8"/>
    </row>
    <row r="20" spans="1:24" x14ac:dyDescent="0.3">
      <c r="A20" s="8"/>
      <c r="B20" s="8"/>
      <c r="C20" s="8"/>
      <c r="D20" s="8"/>
      <c r="E20" s="8"/>
      <c r="F20" s="8"/>
      <c r="G20" s="8"/>
      <c r="H20" s="8"/>
      <c r="I20" s="8"/>
      <c r="J20" s="8"/>
      <c r="K20" s="8"/>
      <c r="L20" s="8"/>
      <c r="M20" s="8"/>
      <c r="N20" s="8"/>
      <c r="O20" s="8"/>
      <c r="P20" s="8"/>
      <c r="Q20" s="8"/>
      <c r="R20" s="8"/>
      <c r="S20" s="8"/>
      <c r="T20" s="8"/>
      <c r="U20" s="8"/>
      <c r="V20" s="8"/>
      <c r="W20" s="8"/>
      <c r="X20" s="8"/>
    </row>
    <row r="21" spans="1:24" x14ac:dyDescent="0.3">
      <c r="A21" s="8"/>
      <c r="B21" s="8"/>
      <c r="C21" s="8"/>
      <c r="D21" s="8"/>
      <c r="E21" s="8"/>
      <c r="F21" s="8"/>
      <c r="G21" s="8"/>
      <c r="H21" s="8"/>
      <c r="I21" s="8"/>
      <c r="J21" s="8"/>
      <c r="K21" s="8"/>
      <c r="L21" s="8"/>
      <c r="M21" s="8"/>
      <c r="N21" s="8"/>
      <c r="O21" s="8"/>
      <c r="P21" s="8"/>
      <c r="Q21" s="8"/>
      <c r="R21" s="8"/>
      <c r="S21" s="8"/>
      <c r="T21" s="8"/>
      <c r="U21" s="8"/>
      <c r="V21" s="8"/>
      <c r="W21" s="8"/>
      <c r="X21" s="8"/>
    </row>
    <row r="22" spans="1:24" x14ac:dyDescent="0.3">
      <c r="A22" s="8"/>
      <c r="B22" s="8"/>
      <c r="C22" s="8"/>
      <c r="D22" s="8"/>
      <c r="E22" s="8"/>
      <c r="F22" s="8"/>
      <c r="G22" s="8"/>
      <c r="H22" s="8"/>
      <c r="I22" s="8"/>
      <c r="J22" s="8"/>
      <c r="K22" s="8"/>
      <c r="L22" s="8"/>
      <c r="M22" s="8"/>
      <c r="N22" s="8"/>
      <c r="O22" s="8"/>
      <c r="P22" s="8"/>
      <c r="Q22" s="8"/>
      <c r="R22" s="8"/>
      <c r="S22" s="8"/>
      <c r="T22" s="8"/>
      <c r="U22" s="8"/>
      <c r="V22" s="8"/>
      <c r="W22" s="8"/>
      <c r="X22" s="8"/>
    </row>
    <row r="23" spans="1:24" x14ac:dyDescent="0.3">
      <c r="A23" s="8"/>
      <c r="B23" s="8"/>
      <c r="C23" s="8"/>
      <c r="D23" s="8"/>
      <c r="E23" s="8"/>
      <c r="F23" s="8"/>
      <c r="G23" s="8"/>
      <c r="H23" s="8"/>
      <c r="I23" s="8"/>
      <c r="J23" s="8"/>
      <c r="K23" s="8"/>
      <c r="L23" s="8"/>
      <c r="M23" s="8"/>
      <c r="N23" s="8"/>
      <c r="O23" s="8"/>
      <c r="P23" s="8"/>
      <c r="Q23" s="8"/>
      <c r="R23" s="8"/>
      <c r="S23" s="8"/>
      <c r="T23" s="8"/>
      <c r="U23" s="8"/>
      <c r="V23" s="8"/>
      <c r="W23" s="8"/>
      <c r="X23" s="8"/>
    </row>
    <row r="24" spans="1:24" x14ac:dyDescent="0.3">
      <c r="A24" s="8"/>
      <c r="B24" s="8"/>
      <c r="C24" s="8"/>
      <c r="D24" s="8"/>
      <c r="E24" s="8"/>
      <c r="F24" s="8"/>
      <c r="G24" s="8"/>
      <c r="H24" s="8"/>
      <c r="I24" s="8"/>
      <c r="J24" s="8"/>
      <c r="K24" s="8"/>
      <c r="L24" s="8"/>
      <c r="M24" s="8"/>
      <c r="N24" s="8"/>
      <c r="O24" s="8"/>
      <c r="P24" s="8"/>
      <c r="Q24" s="8"/>
      <c r="R24" s="8"/>
      <c r="S24" s="8"/>
      <c r="T24" s="8"/>
      <c r="U24" s="8"/>
      <c r="V24" s="8"/>
      <c r="W24" s="8"/>
      <c r="X24" s="8"/>
    </row>
    <row r="25" spans="1:24" x14ac:dyDescent="0.3">
      <c r="A25" s="8"/>
      <c r="B25" s="8"/>
      <c r="C25" s="8"/>
      <c r="D25" s="8"/>
      <c r="E25" s="8"/>
      <c r="F25" s="8"/>
      <c r="G25" s="8"/>
      <c r="H25" s="8"/>
      <c r="I25" s="8"/>
      <c r="J25" s="8"/>
      <c r="K25" s="8"/>
      <c r="L25" s="8"/>
      <c r="M25" s="8"/>
      <c r="N25" s="8"/>
      <c r="O25" s="8"/>
      <c r="P25" s="8"/>
      <c r="Q25" s="8"/>
      <c r="R25" s="8"/>
      <c r="S25" s="8"/>
      <c r="T25" s="8"/>
      <c r="U25" s="8"/>
      <c r="V25" s="8"/>
      <c r="W25" s="8"/>
      <c r="X25" s="8"/>
    </row>
    <row r="26" spans="1:24" x14ac:dyDescent="0.3">
      <c r="A26" s="8"/>
      <c r="B26" s="8"/>
      <c r="C26" s="8"/>
      <c r="D26" s="8"/>
      <c r="E26" s="8"/>
      <c r="F26" s="8"/>
      <c r="G26" s="8"/>
      <c r="H26" s="8"/>
      <c r="I26" s="8"/>
      <c r="J26" s="8"/>
      <c r="K26" s="8"/>
      <c r="L26" s="8"/>
      <c r="M26" s="8"/>
      <c r="N26" s="8"/>
      <c r="O26" s="8"/>
      <c r="P26" s="8"/>
      <c r="Q26" s="8"/>
      <c r="R26" s="8"/>
      <c r="S26" s="8"/>
      <c r="T26" s="8"/>
      <c r="U26" s="8"/>
      <c r="V26" s="8"/>
      <c r="W26" s="8"/>
      <c r="X26" s="8"/>
    </row>
    <row r="27" spans="1:24" x14ac:dyDescent="0.3">
      <c r="A27" s="8"/>
      <c r="B27" s="8"/>
      <c r="C27" s="8"/>
      <c r="D27" s="8"/>
      <c r="E27" s="8"/>
      <c r="F27" s="8"/>
      <c r="G27" s="8"/>
      <c r="H27" s="8"/>
      <c r="I27" s="8"/>
      <c r="J27" s="8"/>
      <c r="K27" s="8"/>
      <c r="L27" s="8"/>
      <c r="M27" s="8"/>
      <c r="N27" s="8"/>
      <c r="O27" s="8"/>
      <c r="P27" s="8"/>
      <c r="Q27" s="8"/>
      <c r="R27" s="8"/>
      <c r="S27" s="8"/>
      <c r="T27" s="8"/>
      <c r="U27" s="8"/>
      <c r="V27" s="8"/>
      <c r="W27" s="8"/>
      <c r="X27" s="8"/>
    </row>
    <row r="28" spans="1:24" x14ac:dyDescent="0.3">
      <c r="A28" s="8"/>
      <c r="B28" s="8"/>
      <c r="C28" s="8"/>
      <c r="D28" s="8"/>
      <c r="E28" s="8"/>
      <c r="F28" s="8"/>
      <c r="G28" s="8"/>
      <c r="H28" s="8"/>
      <c r="I28" s="8"/>
      <c r="J28" s="8"/>
      <c r="K28" s="8"/>
      <c r="L28" s="8"/>
      <c r="M28" s="8"/>
      <c r="N28" s="8"/>
      <c r="O28" s="8"/>
      <c r="P28" s="8"/>
      <c r="Q28" s="8"/>
      <c r="R28" s="8"/>
      <c r="S28" s="8"/>
      <c r="T28" s="8"/>
      <c r="U28" s="8"/>
      <c r="V28" s="8"/>
      <c r="W28" s="8"/>
      <c r="X28" s="8"/>
    </row>
    <row r="29" spans="1:24" x14ac:dyDescent="0.3">
      <c r="A29" s="8"/>
      <c r="B29" s="8"/>
      <c r="C29" s="8"/>
      <c r="D29" s="8"/>
      <c r="E29" s="8"/>
      <c r="F29" s="8"/>
      <c r="G29" s="8"/>
      <c r="H29" s="8"/>
      <c r="I29" s="8"/>
      <c r="J29" s="8"/>
      <c r="K29" s="8"/>
      <c r="L29" s="8"/>
      <c r="M29" s="8"/>
      <c r="N29" s="8"/>
      <c r="O29" s="8"/>
      <c r="P29" s="8"/>
      <c r="Q29" s="8"/>
      <c r="R29" s="8"/>
      <c r="S29" s="8"/>
      <c r="T29" s="8"/>
      <c r="U29" s="8"/>
      <c r="V29" s="8"/>
      <c r="W29" s="8"/>
      <c r="X29" s="8"/>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2BCAA9-A11B-41A3-A167-AE2FF1A96038}">
  <dimension ref="A2:AU27"/>
  <sheetViews>
    <sheetView topLeftCell="X1" workbookViewId="0">
      <selection activeCell="AM11" sqref="AM11"/>
    </sheetView>
  </sheetViews>
  <sheetFormatPr defaultRowHeight="14.4" x14ac:dyDescent="0.3"/>
  <cols>
    <col min="2" max="2" width="17.33203125" bestFit="1" customWidth="1"/>
    <col min="3" max="3" width="15.33203125" bestFit="1" customWidth="1"/>
    <col min="12" max="12" width="17.33203125" bestFit="1" customWidth="1"/>
    <col min="13" max="13" width="18.21875" bestFit="1" customWidth="1"/>
    <col min="21" max="21" width="12.5546875" bestFit="1" customWidth="1"/>
    <col min="22" max="22" width="18.21875" bestFit="1" customWidth="1"/>
    <col min="23" max="23" width="19.21875" bestFit="1" customWidth="1"/>
    <col min="31" max="31" width="17.33203125" bestFit="1" customWidth="1"/>
    <col min="32" max="32" width="15.33203125" bestFit="1" customWidth="1"/>
    <col min="33" max="33" width="12.109375" bestFit="1" customWidth="1"/>
    <col min="40" max="40" width="48.6640625" bestFit="1" customWidth="1"/>
    <col min="41" max="41" width="32.44140625" bestFit="1" customWidth="1"/>
    <col min="42" max="42" width="15.5546875" bestFit="1" customWidth="1"/>
    <col min="43" max="46" width="8" bestFit="1" customWidth="1"/>
    <col min="47" max="47" width="10.77734375" bestFit="1" customWidth="1"/>
    <col min="48" max="51" width="2" bestFit="1" customWidth="1"/>
    <col min="52" max="52" width="6" bestFit="1" customWidth="1"/>
    <col min="53" max="56" width="2" bestFit="1" customWidth="1"/>
    <col min="57" max="57" width="5" bestFit="1" customWidth="1"/>
    <col min="58" max="61" width="2" bestFit="1" customWidth="1"/>
    <col min="62" max="62" width="5" bestFit="1" customWidth="1"/>
    <col min="63" max="66" width="2" bestFit="1" customWidth="1"/>
    <col min="67" max="67" width="5" bestFit="1" customWidth="1"/>
    <col min="68" max="71" width="2" bestFit="1" customWidth="1"/>
    <col min="72" max="72" width="5" bestFit="1" customWidth="1"/>
    <col min="73" max="76" width="2" bestFit="1" customWidth="1"/>
    <col min="77" max="77" width="5" bestFit="1" customWidth="1"/>
    <col min="78" max="81" width="2" bestFit="1" customWidth="1"/>
    <col min="82" max="82" width="5" bestFit="1" customWidth="1"/>
    <col min="83" max="86" width="2" bestFit="1" customWidth="1"/>
    <col min="87" max="87" width="5" bestFit="1" customWidth="1"/>
    <col min="88" max="91" width="2" bestFit="1" customWidth="1"/>
    <col min="92" max="92" width="5" bestFit="1" customWidth="1"/>
    <col min="93" max="96" width="2" bestFit="1" customWidth="1"/>
    <col min="97" max="97" width="5" bestFit="1" customWidth="1"/>
    <col min="98" max="101" width="2" bestFit="1" customWidth="1"/>
    <col min="102" max="102" width="4" bestFit="1" customWidth="1"/>
    <col min="103" max="106" width="2" bestFit="1" customWidth="1"/>
    <col min="107" max="107" width="5" bestFit="1" customWidth="1"/>
    <col min="108" max="111" width="2" bestFit="1" customWidth="1"/>
    <col min="112" max="112" width="5" bestFit="1" customWidth="1"/>
    <col min="113" max="116" width="2" bestFit="1" customWidth="1"/>
    <col min="117" max="117" width="5" bestFit="1" customWidth="1"/>
    <col min="118" max="121" width="2" bestFit="1" customWidth="1"/>
    <col min="122" max="122" width="5" bestFit="1" customWidth="1"/>
    <col min="123" max="126" width="2" bestFit="1" customWidth="1"/>
    <col min="127" max="127" width="5" bestFit="1" customWidth="1"/>
    <col min="128" max="131" width="2" bestFit="1" customWidth="1"/>
    <col min="132" max="132" width="5" bestFit="1" customWidth="1"/>
    <col min="133" max="136" width="2" bestFit="1" customWidth="1"/>
    <col min="137" max="137" width="5" bestFit="1" customWidth="1"/>
    <col min="138" max="141" width="2" bestFit="1" customWidth="1"/>
    <col min="142" max="142" width="5" bestFit="1" customWidth="1"/>
    <col min="143" max="146" width="2" bestFit="1" customWidth="1"/>
    <col min="147" max="147" width="5" bestFit="1" customWidth="1"/>
    <col min="148" max="151" width="2" bestFit="1" customWidth="1"/>
    <col min="152" max="152" width="5" bestFit="1" customWidth="1"/>
    <col min="153" max="156" width="2" bestFit="1" customWidth="1"/>
    <col min="157" max="157" width="4" bestFit="1" customWidth="1"/>
    <col min="158" max="161" width="2" bestFit="1" customWidth="1"/>
    <col min="162" max="162" width="5" bestFit="1" customWidth="1"/>
    <col min="163" max="166" width="2" bestFit="1" customWidth="1"/>
    <col min="167" max="167" width="5" bestFit="1" customWidth="1"/>
    <col min="168" max="171" width="2" bestFit="1" customWidth="1"/>
    <col min="172" max="172" width="5" bestFit="1" customWidth="1"/>
    <col min="173" max="176" width="2" bestFit="1" customWidth="1"/>
    <col min="177" max="177" width="5" bestFit="1" customWidth="1"/>
    <col min="178" max="181" width="2" bestFit="1" customWidth="1"/>
    <col min="182" max="182" width="5" bestFit="1" customWidth="1"/>
    <col min="183" max="186" width="2" bestFit="1" customWidth="1"/>
    <col min="187" max="187" width="5" bestFit="1" customWidth="1"/>
    <col min="188" max="191" width="2" bestFit="1" customWidth="1"/>
    <col min="192" max="192" width="5" bestFit="1" customWidth="1"/>
    <col min="193" max="196" width="2" bestFit="1" customWidth="1"/>
    <col min="197" max="197" width="5" bestFit="1" customWidth="1"/>
    <col min="198" max="201" width="2" bestFit="1" customWidth="1"/>
    <col min="202" max="202" width="5" bestFit="1" customWidth="1"/>
    <col min="203" max="206" width="2" bestFit="1" customWidth="1"/>
    <col min="207" max="207" width="5" bestFit="1" customWidth="1"/>
    <col min="208" max="211" width="2" bestFit="1" customWidth="1"/>
    <col min="212" max="212" width="4" bestFit="1" customWidth="1"/>
    <col min="213" max="216" width="2" bestFit="1" customWidth="1"/>
    <col min="217" max="217" width="5" bestFit="1" customWidth="1"/>
    <col min="218" max="221" width="2" bestFit="1" customWidth="1"/>
    <col min="222" max="222" width="5" bestFit="1" customWidth="1"/>
    <col min="223" max="226" width="2" bestFit="1" customWidth="1"/>
    <col min="227" max="227" width="5" bestFit="1" customWidth="1"/>
    <col min="228" max="231" width="2" bestFit="1" customWidth="1"/>
    <col min="232" max="232" width="5" bestFit="1" customWidth="1"/>
    <col min="233" max="236" width="2" bestFit="1" customWidth="1"/>
    <col min="237" max="237" width="5" bestFit="1" customWidth="1"/>
    <col min="238" max="241" width="2" bestFit="1" customWidth="1"/>
    <col min="242" max="242" width="5" bestFit="1" customWidth="1"/>
    <col min="243" max="246" width="2" bestFit="1" customWidth="1"/>
    <col min="247" max="247" width="5" bestFit="1" customWidth="1"/>
    <col min="248" max="251" width="2" bestFit="1" customWidth="1"/>
    <col min="252" max="252" width="5" bestFit="1" customWidth="1"/>
    <col min="253" max="256" width="2" bestFit="1" customWidth="1"/>
    <col min="257" max="257" width="5" bestFit="1" customWidth="1"/>
    <col min="258" max="261" width="2" bestFit="1" customWidth="1"/>
    <col min="262" max="262" width="4" bestFit="1" customWidth="1"/>
    <col min="263" max="266" width="2" bestFit="1" customWidth="1"/>
    <col min="267" max="267" width="5" bestFit="1" customWidth="1"/>
    <col min="268" max="271" width="2" bestFit="1" customWidth="1"/>
    <col min="272" max="272" width="5" bestFit="1" customWidth="1"/>
    <col min="273" max="276" width="2" bestFit="1" customWidth="1"/>
    <col min="277" max="277" width="5" bestFit="1" customWidth="1"/>
    <col min="278" max="281" width="2" bestFit="1" customWidth="1"/>
    <col min="282" max="282" width="5" bestFit="1" customWidth="1"/>
    <col min="283" max="286" width="2" bestFit="1" customWidth="1"/>
    <col min="287" max="287" width="5" bestFit="1" customWidth="1"/>
    <col min="288" max="291" width="2" bestFit="1" customWidth="1"/>
    <col min="292" max="292" width="5" bestFit="1" customWidth="1"/>
    <col min="293" max="296" width="2" bestFit="1" customWidth="1"/>
    <col min="297" max="297" width="5" bestFit="1" customWidth="1"/>
    <col min="298" max="301" width="2" bestFit="1" customWidth="1"/>
    <col min="302" max="302" width="5" bestFit="1" customWidth="1"/>
    <col min="303" max="306" width="2" bestFit="1" customWidth="1"/>
    <col min="307" max="307" width="5" bestFit="1" customWidth="1"/>
    <col min="308" max="311" width="2" bestFit="1" customWidth="1"/>
    <col min="312" max="312" width="5" bestFit="1" customWidth="1"/>
    <col min="313" max="316" width="2" bestFit="1" customWidth="1"/>
    <col min="317" max="317" width="4" bestFit="1" customWidth="1"/>
    <col min="318" max="321" width="2" bestFit="1" customWidth="1"/>
    <col min="322" max="322" width="5" bestFit="1" customWidth="1"/>
    <col min="323" max="326" width="2" bestFit="1" customWidth="1"/>
    <col min="327" max="327" width="5" bestFit="1" customWidth="1"/>
    <col min="328" max="331" width="2" bestFit="1" customWidth="1"/>
    <col min="332" max="332" width="5" bestFit="1" customWidth="1"/>
    <col min="333" max="336" width="2" bestFit="1" customWidth="1"/>
    <col min="337" max="337" width="5" bestFit="1" customWidth="1"/>
    <col min="338" max="341" width="2" bestFit="1" customWidth="1"/>
    <col min="342" max="342" width="5" bestFit="1" customWidth="1"/>
    <col min="343" max="346" width="2" bestFit="1" customWidth="1"/>
    <col min="347" max="347" width="5" bestFit="1" customWidth="1"/>
    <col min="348" max="351" width="2" bestFit="1" customWidth="1"/>
    <col min="352" max="352" width="5" bestFit="1" customWidth="1"/>
    <col min="353" max="356" width="2" bestFit="1" customWidth="1"/>
    <col min="357" max="357" width="5" bestFit="1" customWidth="1"/>
    <col min="358" max="361" width="2" bestFit="1" customWidth="1"/>
    <col min="362" max="362" width="5" bestFit="1" customWidth="1"/>
    <col min="363" max="366" width="2" bestFit="1" customWidth="1"/>
    <col min="367" max="367" width="5" bestFit="1" customWidth="1"/>
    <col min="368" max="371" width="2" bestFit="1" customWidth="1"/>
    <col min="372" max="372" width="4" bestFit="1" customWidth="1"/>
    <col min="373" max="376" width="2" bestFit="1" customWidth="1"/>
    <col min="377" max="377" width="5" bestFit="1" customWidth="1"/>
    <col min="378" max="381" width="2" bestFit="1" customWidth="1"/>
    <col min="382" max="382" width="5" bestFit="1" customWidth="1"/>
    <col min="383" max="386" width="2" bestFit="1" customWidth="1"/>
    <col min="387" max="387" width="5" bestFit="1" customWidth="1"/>
    <col min="388" max="391" width="2" bestFit="1" customWidth="1"/>
    <col min="392" max="392" width="5" bestFit="1" customWidth="1"/>
    <col min="393" max="396" width="2" bestFit="1" customWidth="1"/>
    <col min="397" max="397" width="5" bestFit="1" customWidth="1"/>
    <col min="398" max="401" width="2" bestFit="1" customWidth="1"/>
    <col min="402" max="402" width="5" bestFit="1" customWidth="1"/>
    <col min="403" max="406" width="2" bestFit="1" customWidth="1"/>
    <col min="407" max="407" width="5" bestFit="1" customWidth="1"/>
    <col min="408" max="411" width="2" bestFit="1" customWidth="1"/>
    <col min="412" max="412" width="5" bestFit="1" customWidth="1"/>
    <col min="413" max="416" width="2" bestFit="1" customWidth="1"/>
    <col min="417" max="417" width="5" bestFit="1" customWidth="1"/>
    <col min="418" max="421" width="2" bestFit="1" customWidth="1"/>
    <col min="422" max="422" width="5" bestFit="1" customWidth="1"/>
    <col min="423" max="426" width="2" bestFit="1" customWidth="1"/>
    <col min="427" max="427" width="4" bestFit="1" customWidth="1"/>
    <col min="428" max="431" width="2" bestFit="1" customWidth="1"/>
    <col min="432" max="432" width="5" bestFit="1" customWidth="1"/>
    <col min="433" max="436" width="2" bestFit="1" customWidth="1"/>
    <col min="437" max="437" width="5" bestFit="1" customWidth="1"/>
    <col min="438" max="441" width="2" bestFit="1" customWidth="1"/>
    <col min="442" max="442" width="5" bestFit="1" customWidth="1"/>
    <col min="443" max="446" width="2" bestFit="1" customWidth="1"/>
    <col min="447" max="447" width="5" bestFit="1" customWidth="1"/>
    <col min="448" max="451" width="2" bestFit="1" customWidth="1"/>
    <col min="452" max="452" width="5" bestFit="1" customWidth="1"/>
    <col min="453" max="456" width="2" bestFit="1" customWidth="1"/>
    <col min="457" max="457" width="5" bestFit="1" customWidth="1"/>
    <col min="458" max="461" width="2" bestFit="1" customWidth="1"/>
    <col min="462" max="462" width="5" bestFit="1" customWidth="1"/>
    <col min="463" max="466" width="2" bestFit="1" customWidth="1"/>
    <col min="467" max="467" width="5" bestFit="1" customWidth="1"/>
    <col min="468" max="471" width="2" bestFit="1" customWidth="1"/>
    <col min="472" max="472" width="5" bestFit="1" customWidth="1"/>
    <col min="473" max="476" width="2" bestFit="1" customWidth="1"/>
    <col min="477" max="477" width="5" bestFit="1" customWidth="1"/>
    <col min="478" max="481" width="2" bestFit="1" customWidth="1"/>
    <col min="482" max="482" width="4" bestFit="1" customWidth="1"/>
    <col min="483" max="486" width="2" bestFit="1" customWidth="1"/>
    <col min="487" max="487" width="5" bestFit="1" customWidth="1"/>
    <col min="488" max="491" width="2" bestFit="1" customWidth="1"/>
    <col min="492" max="492" width="5" bestFit="1" customWidth="1"/>
    <col min="493" max="496" width="2" bestFit="1" customWidth="1"/>
    <col min="497" max="497" width="5" bestFit="1" customWidth="1"/>
    <col min="498" max="501" width="2" bestFit="1" customWidth="1"/>
    <col min="502" max="502" width="5" bestFit="1" customWidth="1"/>
    <col min="503" max="506" width="2" bestFit="1" customWidth="1"/>
    <col min="507" max="507" width="5" bestFit="1" customWidth="1"/>
    <col min="508" max="511" width="2" bestFit="1" customWidth="1"/>
    <col min="512" max="512" width="5" bestFit="1" customWidth="1"/>
    <col min="513" max="516" width="2" bestFit="1" customWidth="1"/>
    <col min="517" max="517" width="5" bestFit="1" customWidth="1"/>
    <col min="518" max="521" width="2" bestFit="1" customWidth="1"/>
    <col min="522" max="522" width="5" bestFit="1" customWidth="1"/>
    <col min="523" max="526" width="2" bestFit="1" customWidth="1"/>
    <col min="527" max="527" width="5" bestFit="1" customWidth="1"/>
    <col min="528" max="531" width="2" bestFit="1" customWidth="1"/>
    <col min="532" max="532" width="10.77734375" bestFit="1" customWidth="1"/>
  </cols>
  <sheetData>
    <row r="2" spans="1:47" x14ac:dyDescent="0.3">
      <c r="A2" s="6" t="s">
        <v>299</v>
      </c>
      <c r="B2" s="6"/>
      <c r="C2" s="6"/>
      <c r="L2" s="6" t="s">
        <v>504</v>
      </c>
      <c r="M2" s="6"/>
    </row>
    <row r="3" spans="1:47" x14ac:dyDescent="0.3">
      <c r="B3" s="1" t="s">
        <v>295</v>
      </c>
      <c r="C3" t="s">
        <v>298</v>
      </c>
      <c r="L3" s="1" t="s">
        <v>295</v>
      </c>
      <c r="M3" t="s">
        <v>300</v>
      </c>
      <c r="U3" s="6" t="s">
        <v>301</v>
      </c>
      <c r="V3" s="6"/>
      <c r="AE3" s="6" t="s">
        <v>305</v>
      </c>
      <c r="AF3" s="6"/>
    </row>
    <row r="4" spans="1:47" x14ac:dyDescent="0.3">
      <c r="B4" s="2" t="s">
        <v>231</v>
      </c>
      <c r="C4" s="3">
        <v>53.886099999999999</v>
      </c>
      <c r="L4" s="2" t="s">
        <v>231</v>
      </c>
      <c r="M4">
        <v>5</v>
      </c>
      <c r="U4" s="1" t="s">
        <v>295</v>
      </c>
      <c r="V4" t="s">
        <v>300</v>
      </c>
      <c r="AE4" s="1" t="s">
        <v>295</v>
      </c>
      <c r="AF4" t="s">
        <v>298</v>
      </c>
    </row>
    <row r="5" spans="1:47" x14ac:dyDescent="0.3">
      <c r="B5" s="2" t="s">
        <v>246</v>
      </c>
      <c r="C5" s="3">
        <v>53.886099999999999</v>
      </c>
      <c r="L5" s="2" t="s">
        <v>246</v>
      </c>
      <c r="M5">
        <v>2</v>
      </c>
      <c r="U5" s="2" t="s">
        <v>291</v>
      </c>
      <c r="V5">
        <v>1</v>
      </c>
      <c r="AE5" s="2" t="s">
        <v>231</v>
      </c>
      <c r="AF5">
        <v>53.886099999999999</v>
      </c>
      <c r="AO5" s="1" t="s">
        <v>512</v>
      </c>
      <c r="AP5" s="1" t="s">
        <v>511</v>
      </c>
    </row>
    <row r="6" spans="1:47" x14ac:dyDescent="0.3">
      <c r="B6" s="2" t="s">
        <v>244</v>
      </c>
      <c r="C6" s="3">
        <v>53.886099999999999</v>
      </c>
      <c r="L6" s="2" t="s">
        <v>244</v>
      </c>
      <c r="M6">
        <v>1</v>
      </c>
      <c r="U6" s="2" t="s">
        <v>292</v>
      </c>
      <c r="V6">
        <v>18</v>
      </c>
      <c r="AE6" s="2" t="s">
        <v>246</v>
      </c>
      <c r="AF6">
        <v>53.886099999999999</v>
      </c>
      <c r="AO6" s="1" t="s">
        <v>295</v>
      </c>
      <c r="AP6">
        <v>1</v>
      </c>
      <c r="AQ6">
        <v>2</v>
      </c>
      <c r="AR6">
        <v>3</v>
      </c>
      <c r="AS6">
        <v>4</v>
      </c>
      <c r="AT6">
        <v>5</v>
      </c>
      <c r="AU6" t="s">
        <v>296</v>
      </c>
    </row>
    <row r="7" spans="1:47" x14ac:dyDescent="0.3">
      <c r="B7" s="2" t="s">
        <v>207</v>
      </c>
      <c r="C7" s="3">
        <v>53.886099999999999</v>
      </c>
      <c r="L7" s="2" t="s">
        <v>207</v>
      </c>
      <c r="M7">
        <v>7</v>
      </c>
      <c r="U7" s="2" t="s">
        <v>293</v>
      </c>
      <c r="V7">
        <v>40</v>
      </c>
      <c r="AE7" s="2" t="s">
        <v>244</v>
      </c>
      <c r="AF7">
        <v>53.886099999999999</v>
      </c>
      <c r="AO7" s="2" t="s">
        <v>302</v>
      </c>
      <c r="AT7">
        <v>5388.61</v>
      </c>
      <c r="AU7">
        <v>5388.61</v>
      </c>
    </row>
    <row r="8" spans="1:47" x14ac:dyDescent="0.3">
      <c r="B8" s="2" t="s">
        <v>271</v>
      </c>
      <c r="C8" s="3">
        <v>53.886099999999999</v>
      </c>
      <c r="L8" s="2" t="s">
        <v>271</v>
      </c>
      <c r="M8">
        <v>1</v>
      </c>
      <c r="U8" s="2" t="s">
        <v>294</v>
      </c>
      <c r="V8">
        <v>41</v>
      </c>
      <c r="AE8" s="2" t="s">
        <v>207</v>
      </c>
      <c r="AF8">
        <v>53.886099999999999</v>
      </c>
      <c r="AO8" s="2" t="s">
        <v>3</v>
      </c>
      <c r="AP8">
        <v>5388.61</v>
      </c>
      <c r="AU8">
        <v>5388.61</v>
      </c>
    </row>
    <row r="9" spans="1:47" x14ac:dyDescent="0.3">
      <c r="B9" s="2" t="s">
        <v>268</v>
      </c>
      <c r="C9" s="3">
        <v>53.886099999999999</v>
      </c>
      <c r="L9" s="2" t="s">
        <v>268</v>
      </c>
      <c r="M9">
        <v>2</v>
      </c>
      <c r="U9" s="2" t="s">
        <v>296</v>
      </c>
      <c r="V9">
        <v>100</v>
      </c>
      <c r="AE9" s="2" t="s">
        <v>271</v>
      </c>
      <c r="AF9">
        <v>53.886099999999999</v>
      </c>
      <c r="AO9" s="2" t="s">
        <v>303</v>
      </c>
      <c r="AR9">
        <v>5388.61</v>
      </c>
      <c r="AU9">
        <v>5388.61</v>
      </c>
    </row>
    <row r="10" spans="1:47" x14ac:dyDescent="0.3">
      <c r="B10" s="2" t="s">
        <v>266</v>
      </c>
      <c r="C10" s="3">
        <v>53.886099999999999</v>
      </c>
      <c r="L10" s="2" t="s">
        <v>266</v>
      </c>
      <c r="M10">
        <v>1</v>
      </c>
      <c r="AE10" s="2" t="s">
        <v>268</v>
      </c>
      <c r="AF10">
        <v>53.886099999999999</v>
      </c>
      <c r="AO10" s="2" t="s">
        <v>304</v>
      </c>
      <c r="AQ10">
        <v>5388.61</v>
      </c>
      <c r="AU10">
        <v>5388.61</v>
      </c>
    </row>
    <row r="11" spans="1:47" x14ac:dyDescent="0.3">
      <c r="B11" s="2" t="s">
        <v>249</v>
      </c>
      <c r="C11" s="3">
        <v>53.886099999999999</v>
      </c>
      <c r="L11" s="2" t="s">
        <v>249</v>
      </c>
      <c r="M11">
        <v>2</v>
      </c>
      <c r="AE11" s="2" t="s">
        <v>266</v>
      </c>
      <c r="AF11">
        <v>53.886099999999999</v>
      </c>
      <c r="AO11" s="2" t="s">
        <v>9</v>
      </c>
      <c r="AS11">
        <v>5388.61</v>
      </c>
      <c r="AU11">
        <v>5388.61</v>
      </c>
    </row>
    <row r="12" spans="1:47" x14ac:dyDescent="0.3">
      <c r="B12" s="2" t="s">
        <v>276</v>
      </c>
      <c r="C12" s="3">
        <v>53.886099999999999</v>
      </c>
      <c r="L12" s="2" t="s">
        <v>276</v>
      </c>
      <c r="M12">
        <v>1</v>
      </c>
      <c r="AE12" s="2" t="s">
        <v>249</v>
      </c>
      <c r="AF12">
        <v>53.886099999999999</v>
      </c>
      <c r="AO12" s="2" t="s">
        <v>296</v>
      </c>
      <c r="AP12">
        <v>5388.61</v>
      </c>
      <c r="AQ12">
        <v>5388.61</v>
      </c>
      <c r="AR12">
        <v>5388.61</v>
      </c>
      <c r="AS12">
        <v>5388.61</v>
      </c>
      <c r="AT12">
        <v>5388.61</v>
      </c>
      <c r="AU12">
        <v>5388.61</v>
      </c>
    </row>
    <row r="13" spans="1:47" x14ac:dyDescent="0.3">
      <c r="B13" s="2" t="s">
        <v>205</v>
      </c>
      <c r="C13" s="3">
        <v>53.886099999999999</v>
      </c>
      <c r="L13" s="2" t="s">
        <v>205</v>
      </c>
      <c r="M13">
        <v>11</v>
      </c>
      <c r="AE13" s="2" t="s">
        <v>276</v>
      </c>
      <c r="AF13">
        <v>53.886099999999999</v>
      </c>
    </row>
    <row r="14" spans="1:47" x14ac:dyDescent="0.3">
      <c r="B14" s="2" t="s">
        <v>229</v>
      </c>
      <c r="C14" s="3">
        <v>53.886099999999999</v>
      </c>
      <c r="L14" s="2" t="s">
        <v>229</v>
      </c>
      <c r="M14">
        <v>4</v>
      </c>
      <c r="AE14" s="2" t="s">
        <v>205</v>
      </c>
      <c r="AF14">
        <v>53.886099999999999</v>
      </c>
    </row>
    <row r="15" spans="1:47" x14ac:dyDescent="0.3">
      <c r="B15" s="2" t="s">
        <v>221</v>
      </c>
      <c r="C15" s="3">
        <v>53.886099999999999</v>
      </c>
      <c r="L15" s="2" t="s">
        <v>221</v>
      </c>
      <c r="M15">
        <v>10</v>
      </c>
      <c r="AE15" s="2" t="s">
        <v>229</v>
      </c>
      <c r="AF15">
        <v>53.886099999999999</v>
      </c>
    </row>
    <row r="16" spans="1:47" x14ac:dyDescent="0.3">
      <c r="B16" s="2" t="s">
        <v>273</v>
      </c>
      <c r="C16" s="3">
        <v>53.886099999999999</v>
      </c>
      <c r="L16" s="2" t="s">
        <v>273</v>
      </c>
      <c r="M16">
        <v>1</v>
      </c>
      <c r="AE16" s="2" t="s">
        <v>221</v>
      </c>
      <c r="AF16">
        <v>53.886099999999999</v>
      </c>
    </row>
    <row r="17" spans="2:32" x14ac:dyDescent="0.3">
      <c r="B17" s="2" t="s">
        <v>219</v>
      </c>
      <c r="C17" s="3">
        <v>53.886099999999999</v>
      </c>
      <c r="L17" s="2" t="s">
        <v>219</v>
      </c>
      <c r="M17">
        <v>2</v>
      </c>
      <c r="AE17" s="2" t="s">
        <v>273</v>
      </c>
      <c r="AF17">
        <v>53.886099999999999</v>
      </c>
    </row>
    <row r="18" spans="2:32" x14ac:dyDescent="0.3">
      <c r="B18" s="2" t="s">
        <v>263</v>
      </c>
      <c r="C18" s="3">
        <v>53.886099999999999</v>
      </c>
      <c r="L18" s="2" t="s">
        <v>263</v>
      </c>
      <c r="M18">
        <v>1</v>
      </c>
      <c r="AE18" s="2" t="s">
        <v>219</v>
      </c>
      <c r="AF18">
        <v>53.886099999999999</v>
      </c>
    </row>
    <row r="19" spans="2:32" x14ac:dyDescent="0.3">
      <c r="B19" s="2" t="s">
        <v>227</v>
      </c>
      <c r="C19" s="3">
        <v>53.886099999999999</v>
      </c>
      <c r="L19" s="2" t="s">
        <v>227</v>
      </c>
      <c r="M19">
        <v>7</v>
      </c>
      <c r="AE19" s="2" t="s">
        <v>263</v>
      </c>
      <c r="AF19">
        <v>53.886099999999999</v>
      </c>
    </row>
    <row r="20" spans="2:32" x14ac:dyDescent="0.3">
      <c r="B20" s="2" t="s">
        <v>225</v>
      </c>
      <c r="C20" s="3">
        <v>53.886099999999999</v>
      </c>
      <c r="L20" s="2" t="s">
        <v>225</v>
      </c>
      <c r="M20">
        <v>3</v>
      </c>
      <c r="AE20" s="2" t="s">
        <v>227</v>
      </c>
      <c r="AF20">
        <v>53.886099999999999</v>
      </c>
    </row>
    <row r="21" spans="2:32" x14ac:dyDescent="0.3">
      <c r="B21" s="2" t="s">
        <v>212</v>
      </c>
      <c r="C21" s="3">
        <v>53.886099999999999</v>
      </c>
      <c r="L21" s="2" t="s">
        <v>212</v>
      </c>
      <c r="M21">
        <v>22</v>
      </c>
      <c r="AE21" s="2" t="s">
        <v>225</v>
      </c>
      <c r="AF21">
        <v>53.886099999999999</v>
      </c>
    </row>
    <row r="22" spans="2:32" x14ac:dyDescent="0.3">
      <c r="B22" s="2" t="s">
        <v>223</v>
      </c>
      <c r="C22" s="3">
        <v>53.886099999999999</v>
      </c>
      <c r="L22" s="2" t="s">
        <v>223</v>
      </c>
      <c r="M22">
        <v>3</v>
      </c>
      <c r="AE22" s="2" t="s">
        <v>212</v>
      </c>
      <c r="AF22">
        <v>53.886099999999999</v>
      </c>
    </row>
    <row r="23" spans="2:32" x14ac:dyDescent="0.3">
      <c r="B23" s="2" t="s">
        <v>210</v>
      </c>
      <c r="C23" s="3">
        <v>53.886099999999999</v>
      </c>
      <c r="L23" s="2" t="s">
        <v>210</v>
      </c>
      <c r="M23">
        <v>9</v>
      </c>
      <c r="AE23" s="2" t="s">
        <v>223</v>
      </c>
      <c r="AF23">
        <v>53.886099999999999</v>
      </c>
    </row>
    <row r="24" spans="2:32" x14ac:dyDescent="0.3">
      <c r="B24" s="2" t="s">
        <v>251</v>
      </c>
      <c r="C24" s="3">
        <v>53.886099999999999</v>
      </c>
      <c r="L24" s="2" t="s">
        <v>251</v>
      </c>
      <c r="M24">
        <v>3</v>
      </c>
      <c r="AE24" s="2" t="s">
        <v>210</v>
      </c>
      <c r="AF24">
        <v>53.886099999999999</v>
      </c>
    </row>
    <row r="25" spans="2:32" x14ac:dyDescent="0.3">
      <c r="B25" s="2" t="s">
        <v>215</v>
      </c>
      <c r="C25" s="3">
        <v>53.886099999999999</v>
      </c>
      <c r="L25" s="2" t="s">
        <v>215</v>
      </c>
      <c r="M25">
        <v>2</v>
      </c>
      <c r="AE25" s="2" t="s">
        <v>251</v>
      </c>
      <c r="AF25">
        <v>53.886099999999999</v>
      </c>
    </row>
    <row r="26" spans="2:32" x14ac:dyDescent="0.3">
      <c r="B26" s="2" t="s">
        <v>296</v>
      </c>
      <c r="C26" s="3">
        <v>53.886099999999999</v>
      </c>
      <c r="L26" s="2" t="s">
        <v>296</v>
      </c>
      <c r="M26">
        <v>100</v>
      </c>
      <c r="AE26" s="2" t="s">
        <v>215</v>
      </c>
      <c r="AF26">
        <v>53.886099999999999</v>
      </c>
    </row>
    <row r="27" spans="2:32" x14ac:dyDescent="0.3">
      <c r="AE27" s="2" t="s">
        <v>296</v>
      </c>
      <c r="AF27">
        <v>53.886099999999999</v>
      </c>
    </row>
  </sheetData>
  <mergeCells count="4">
    <mergeCell ref="A2:C2"/>
    <mergeCell ref="L2:M2"/>
    <mergeCell ref="U3:V3"/>
    <mergeCell ref="AE3:AF3"/>
  </mergeCells>
  <pageMargins left="0.7" right="0.7" top="0.75" bottom="0.75" header="0.3" footer="0.3"/>
  <drawing r:id="rId6"/>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6D568E-614E-4990-A280-9EA76A9FDF55}">
  <dimension ref="A1:D101"/>
  <sheetViews>
    <sheetView workbookViewId="0"/>
  </sheetViews>
  <sheetFormatPr defaultRowHeight="14.4" x14ac:dyDescent="0.3"/>
  <cols>
    <col min="1" max="1" width="22.5546875" bestFit="1" customWidth="1"/>
    <col min="2" max="2" width="67.88671875" bestFit="1" customWidth="1"/>
    <col min="3" max="3" width="23" bestFit="1" customWidth="1"/>
    <col min="4" max="4" width="12.44140625" bestFit="1" customWidth="1"/>
  </cols>
  <sheetData>
    <row r="1" spans="1:4" x14ac:dyDescent="0.3">
      <c r="A1" t="s">
        <v>509</v>
      </c>
      <c r="B1" t="s">
        <v>1</v>
      </c>
      <c r="C1" t="s">
        <v>510</v>
      </c>
      <c r="D1" t="s">
        <v>0</v>
      </c>
    </row>
    <row r="2" spans="1:4" x14ac:dyDescent="0.3">
      <c r="A2">
        <v>1</v>
      </c>
      <c r="B2" t="s">
        <v>3</v>
      </c>
      <c r="C2">
        <v>83.29</v>
      </c>
      <c r="D2" t="s">
        <v>2</v>
      </c>
    </row>
    <row r="3" spans="1:4" x14ac:dyDescent="0.3">
      <c r="A3">
        <v>2</v>
      </c>
      <c r="B3" t="s">
        <v>5</v>
      </c>
      <c r="C3">
        <v>69.8</v>
      </c>
      <c r="D3" t="s">
        <v>4</v>
      </c>
    </row>
    <row r="4" spans="1:4" x14ac:dyDescent="0.3">
      <c r="A4">
        <v>3</v>
      </c>
      <c r="B4" t="s">
        <v>7</v>
      </c>
      <c r="C4">
        <v>68.11</v>
      </c>
      <c r="D4" t="s">
        <v>6</v>
      </c>
    </row>
    <row r="5" spans="1:4" x14ac:dyDescent="0.3">
      <c r="A5">
        <v>4</v>
      </c>
      <c r="B5" t="s">
        <v>9</v>
      </c>
      <c r="C5">
        <v>67.180000000000007</v>
      </c>
      <c r="D5" t="s">
        <v>8</v>
      </c>
    </row>
    <row r="6" spans="1:4" x14ac:dyDescent="0.3">
      <c r="A6">
        <v>5</v>
      </c>
      <c r="B6" t="s">
        <v>11</v>
      </c>
      <c r="C6">
        <v>66.05</v>
      </c>
      <c r="D6" t="s">
        <v>10</v>
      </c>
    </row>
    <row r="7" spans="1:4" x14ac:dyDescent="0.3">
      <c r="A7">
        <v>6</v>
      </c>
      <c r="B7" t="s">
        <v>13</v>
      </c>
      <c r="C7">
        <v>65.900000000000006</v>
      </c>
      <c r="D7" t="s">
        <v>12</v>
      </c>
    </row>
    <row r="8" spans="1:4" x14ac:dyDescent="0.3">
      <c r="A8">
        <v>7</v>
      </c>
      <c r="B8" t="s">
        <v>15</v>
      </c>
      <c r="C8">
        <v>65.73</v>
      </c>
      <c r="D8" t="s">
        <v>14</v>
      </c>
    </row>
    <row r="9" spans="1:4" x14ac:dyDescent="0.3">
      <c r="A9">
        <v>8</v>
      </c>
      <c r="B9" t="s">
        <v>17</v>
      </c>
      <c r="C9">
        <v>65.569999999999993</v>
      </c>
      <c r="D9" t="s">
        <v>16</v>
      </c>
    </row>
    <row r="10" spans="1:4" x14ac:dyDescent="0.3">
      <c r="A10">
        <v>9</v>
      </c>
      <c r="B10" t="s">
        <v>19</v>
      </c>
      <c r="C10">
        <v>65.39</v>
      </c>
      <c r="D10" t="s">
        <v>18</v>
      </c>
    </row>
    <row r="11" spans="1:4" x14ac:dyDescent="0.3">
      <c r="A11">
        <v>10</v>
      </c>
      <c r="B11" t="s">
        <v>21</v>
      </c>
      <c r="C11">
        <v>64.790000000000006</v>
      </c>
      <c r="D11" t="s">
        <v>20</v>
      </c>
    </row>
    <row r="12" spans="1:4" x14ac:dyDescent="0.3">
      <c r="A12">
        <v>11</v>
      </c>
      <c r="B12" t="s">
        <v>23</v>
      </c>
      <c r="C12">
        <v>64.62</v>
      </c>
      <c r="D12" t="s">
        <v>22</v>
      </c>
    </row>
    <row r="13" spans="1:4" x14ac:dyDescent="0.3">
      <c r="A13">
        <v>12</v>
      </c>
      <c r="B13" t="s">
        <v>25</v>
      </c>
      <c r="C13">
        <v>64.56</v>
      </c>
      <c r="D13" t="s">
        <v>24</v>
      </c>
    </row>
    <row r="14" spans="1:4" x14ac:dyDescent="0.3">
      <c r="A14">
        <v>13</v>
      </c>
      <c r="B14" t="s">
        <v>27</v>
      </c>
      <c r="C14">
        <v>63.85</v>
      </c>
      <c r="D14" t="s">
        <v>26</v>
      </c>
    </row>
    <row r="15" spans="1:4" x14ac:dyDescent="0.3">
      <c r="A15">
        <v>14</v>
      </c>
      <c r="B15" t="s">
        <v>29</v>
      </c>
      <c r="C15">
        <v>62.61</v>
      </c>
      <c r="D15" t="s">
        <v>28</v>
      </c>
    </row>
    <row r="16" spans="1:4" x14ac:dyDescent="0.3">
      <c r="A16">
        <v>15</v>
      </c>
      <c r="B16" t="s">
        <v>31</v>
      </c>
      <c r="C16">
        <v>62.53</v>
      </c>
      <c r="D16" t="s">
        <v>30</v>
      </c>
    </row>
    <row r="17" spans="1:4" x14ac:dyDescent="0.3">
      <c r="A17">
        <v>16</v>
      </c>
      <c r="B17" t="s">
        <v>33</v>
      </c>
      <c r="C17">
        <v>62.31</v>
      </c>
      <c r="D17" t="s">
        <v>32</v>
      </c>
    </row>
    <row r="18" spans="1:4" x14ac:dyDescent="0.3">
      <c r="A18">
        <v>17</v>
      </c>
      <c r="B18" t="s">
        <v>35</v>
      </c>
      <c r="C18">
        <v>62.18</v>
      </c>
      <c r="D18" t="s">
        <v>34</v>
      </c>
    </row>
    <row r="19" spans="1:4" x14ac:dyDescent="0.3">
      <c r="A19">
        <v>18</v>
      </c>
      <c r="B19" t="s">
        <v>37</v>
      </c>
      <c r="C19">
        <v>61.1</v>
      </c>
      <c r="D19" t="s">
        <v>36</v>
      </c>
    </row>
    <row r="20" spans="1:4" x14ac:dyDescent="0.3">
      <c r="A20">
        <v>19</v>
      </c>
      <c r="B20" t="s">
        <v>39</v>
      </c>
      <c r="C20">
        <v>60.03</v>
      </c>
      <c r="D20" t="s">
        <v>38</v>
      </c>
    </row>
    <row r="21" spans="1:4" x14ac:dyDescent="0.3">
      <c r="A21">
        <v>20</v>
      </c>
      <c r="B21" t="s">
        <v>41</v>
      </c>
      <c r="C21">
        <v>59.96</v>
      </c>
      <c r="D21" t="s">
        <v>40</v>
      </c>
    </row>
    <row r="22" spans="1:4" x14ac:dyDescent="0.3">
      <c r="A22">
        <v>21</v>
      </c>
      <c r="B22" t="s">
        <v>43</v>
      </c>
      <c r="C22">
        <v>58.48</v>
      </c>
      <c r="D22" t="s">
        <v>42</v>
      </c>
    </row>
    <row r="23" spans="1:4" x14ac:dyDescent="0.3">
      <c r="A23">
        <v>22</v>
      </c>
      <c r="B23" t="s">
        <v>45</v>
      </c>
      <c r="C23">
        <v>57.98</v>
      </c>
      <c r="D23" t="s">
        <v>44</v>
      </c>
    </row>
    <row r="24" spans="1:4" x14ac:dyDescent="0.3">
      <c r="A24">
        <v>23</v>
      </c>
      <c r="B24" t="s">
        <v>47</v>
      </c>
      <c r="C24">
        <v>57.96</v>
      </c>
      <c r="D24" t="s">
        <v>46</v>
      </c>
    </row>
    <row r="25" spans="1:4" x14ac:dyDescent="0.3">
      <c r="A25">
        <v>24</v>
      </c>
      <c r="B25" t="s">
        <v>49</v>
      </c>
      <c r="C25">
        <v>57.74</v>
      </c>
      <c r="D25" t="s">
        <v>48</v>
      </c>
    </row>
    <row r="26" spans="1:4" x14ac:dyDescent="0.3">
      <c r="A26">
        <v>25</v>
      </c>
      <c r="B26" t="s">
        <v>51</v>
      </c>
      <c r="C26">
        <v>57.67</v>
      </c>
      <c r="D26" t="s">
        <v>50</v>
      </c>
    </row>
    <row r="27" spans="1:4" x14ac:dyDescent="0.3">
      <c r="A27">
        <v>26</v>
      </c>
      <c r="B27" t="s">
        <v>53</v>
      </c>
      <c r="C27">
        <v>57.26</v>
      </c>
      <c r="D27" t="s">
        <v>52</v>
      </c>
    </row>
    <row r="28" spans="1:4" x14ac:dyDescent="0.3">
      <c r="A28">
        <v>27</v>
      </c>
      <c r="B28" t="s">
        <v>55</v>
      </c>
      <c r="C28">
        <v>56.92</v>
      </c>
      <c r="D28" t="s">
        <v>54</v>
      </c>
    </row>
    <row r="29" spans="1:4" x14ac:dyDescent="0.3">
      <c r="A29">
        <v>28</v>
      </c>
      <c r="B29" t="s">
        <v>57</v>
      </c>
      <c r="C29">
        <v>56.81</v>
      </c>
      <c r="D29" t="s">
        <v>56</v>
      </c>
    </row>
    <row r="30" spans="1:4" x14ac:dyDescent="0.3">
      <c r="A30">
        <v>29</v>
      </c>
      <c r="B30" t="s">
        <v>59</v>
      </c>
      <c r="C30">
        <v>56.72</v>
      </c>
      <c r="D30" t="s">
        <v>58</v>
      </c>
    </row>
    <row r="31" spans="1:4" x14ac:dyDescent="0.3">
      <c r="A31">
        <v>30</v>
      </c>
      <c r="B31" t="s">
        <v>61</v>
      </c>
      <c r="C31">
        <v>56.71</v>
      </c>
      <c r="D31" t="s">
        <v>60</v>
      </c>
    </row>
    <row r="32" spans="1:4" x14ac:dyDescent="0.3">
      <c r="A32">
        <v>31</v>
      </c>
      <c r="B32" t="s">
        <v>63</v>
      </c>
      <c r="C32">
        <v>56.41</v>
      </c>
      <c r="D32" t="s">
        <v>62</v>
      </c>
    </row>
    <row r="33" spans="1:4" x14ac:dyDescent="0.3">
      <c r="A33">
        <v>32</v>
      </c>
      <c r="B33" t="s">
        <v>65</v>
      </c>
      <c r="C33">
        <v>56.14</v>
      </c>
      <c r="D33" t="s">
        <v>64</v>
      </c>
    </row>
    <row r="34" spans="1:4" x14ac:dyDescent="0.3">
      <c r="A34">
        <v>33</v>
      </c>
      <c r="B34" t="s">
        <v>67</v>
      </c>
      <c r="C34">
        <v>56.03</v>
      </c>
      <c r="D34" t="s">
        <v>66</v>
      </c>
    </row>
    <row r="35" spans="1:4" x14ac:dyDescent="0.3">
      <c r="A35">
        <v>34</v>
      </c>
      <c r="B35" t="s">
        <v>69</v>
      </c>
      <c r="C35">
        <v>55.95</v>
      </c>
      <c r="D35" t="s">
        <v>68</v>
      </c>
    </row>
    <row r="36" spans="1:4" x14ac:dyDescent="0.3">
      <c r="A36">
        <v>35</v>
      </c>
      <c r="B36" t="s">
        <v>71</v>
      </c>
      <c r="C36">
        <v>55.67</v>
      </c>
      <c r="D36" t="s">
        <v>70</v>
      </c>
    </row>
    <row r="37" spans="1:4" x14ac:dyDescent="0.3">
      <c r="A37">
        <v>36</v>
      </c>
      <c r="B37" t="s">
        <v>73</v>
      </c>
      <c r="C37">
        <v>55.6</v>
      </c>
      <c r="D37" t="s">
        <v>72</v>
      </c>
    </row>
    <row r="38" spans="1:4" x14ac:dyDescent="0.3">
      <c r="A38">
        <v>37</v>
      </c>
      <c r="B38" t="s">
        <v>75</v>
      </c>
      <c r="C38">
        <v>55.18</v>
      </c>
      <c r="D38" t="s">
        <v>74</v>
      </c>
    </row>
    <row r="39" spans="1:4" x14ac:dyDescent="0.3">
      <c r="A39">
        <v>38</v>
      </c>
      <c r="B39" t="s">
        <v>77</v>
      </c>
      <c r="C39">
        <v>55.11</v>
      </c>
      <c r="D39" t="s">
        <v>76</v>
      </c>
    </row>
    <row r="40" spans="1:4" x14ac:dyDescent="0.3">
      <c r="A40">
        <v>39</v>
      </c>
      <c r="B40" t="s">
        <v>79</v>
      </c>
      <c r="C40">
        <v>55.03</v>
      </c>
      <c r="D40" t="s">
        <v>78</v>
      </c>
    </row>
    <row r="41" spans="1:4" x14ac:dyDescent="0.3">
      <c r="A41">
        <v>40</v>
      </c>
      <c r="B41" t="s">
        <v>81</v>
      </c>
      <c r="C41">
        <v>54.86</v>
      </c>
      <c r="D41" t="s">
        <v>80</v>
      </c>
    </row>
    <row r="42" spans="1:4" x14ac:dyDescent="0.3">
      <c r="A42">
        <v>40</v>
      </c>
      <c r="B42" t="s">
        <v>83</v>
      </c>
      <c r="C42">
        <v>54.86</v>
      </c>
      <c r="D42" t="s">
        <v>82</v>
      </c>
    </row>
    <row r="43" spans="1:4" x14ac:dyDescent="0.3">
      <c r="A43">
        <v>42</v>
      </c>
      <c r="B43" t="s">
        <v>85</v>
      </c>
      <c r="C43">
        <v>54.71</v>
      </c>
      <c r="D43" t="s">
        <v>84</v>
      </c>
    </row>
    <row r="44" spans="1:4" x14ac:dyDescent="0.3">
      <c r="A44">
        <v>43</v>
      </c>
      <c r="B44" t="s">
        <v>87</v>
      </c>
      <c r="C44">
        <v>54.69</v>
      </c>
      <c r="D44" t="s">
        <v>86</v>
      </c>
    </row>
    <row r="45" spans="1:4" x14ac:dyDescent="0.3">
      <c r="A45">
        <v>44</v>
      </c>
      <c r="B45" t="s">
        <v>89</v>
      </c>
      <c r="C45">
        <v>54.59</v>
      </c>
      <c r="D45" t="s">
        <v>88</v>
      </c>
    </row>
    <row r="46" spans="1:4" x14ac:dyDescent="0.3">
      <c r="A46">
        <v>45</v>
      </c>
      <c r="B46" t="s">
        <v>91</v>
      </c>
      <c r="C46">
        <v>54.43</v>
      </c>
      <c r="D46" t="s">
        <v>90</v>
      </c>
    </row>
    <row r="47" spans="1:4" x14ac:dyDescent="0.3">
      <c r="A47">
        <v>46</v>
      </c>
      <c r="B47" t="s">
        <v>93</v>
      </c>
      <c r="C47">
        <v>54.02</v>
      </c>
      <c r="D47" t="s">
        <v>92</v>
      </c>
    </row>
    <row r="48" spans="1:4" x14ac:dyDescent="0.3">
      <c r="A48">
        <v>47</v>
      </c>
      <c r="B48" t="s">
        <v>95</v>
      </c>
      <c r="C48">
        <v>53.84</v>
      </c>
      <c r="D48" t="s">
        <v>94</v>
      </c>
    </row>
    <row r="49" spans="1:4" x14ac:dyDescent="0.3">
      <c r="A49">
        <v>48</v>
      </c>
      <c r="B49" t="s">
        <v>97</v>
      </c>
      <c r="C49">
        <v>53.31</v>
      </c>
      <c r="D49" t="s">
        <v>96</v>
      </c>
    </row>
    <row r="50" spans="1:4" x14ac:dyDescent="0.3">
      <c r="A50">
        <v>49</v>
      </c>
      <c r="B50" t="s">
        <v>99</v>
      </c>
      <c r="C50">
        <v>52.43</v>
      </c>
      <c r="D50" t="s">
        <v>98</v>
      </c>
    </row>
    <row r="51" spans="1:4" x14ac:dyDescent="0.3">
      <c r="A51">
        <v>50</v>
      </c>
      <c r="B51" t="s">
        <v>101</v>
      </c>
      <c r="C51">
        <v>52.33</v>
      </c>
      <c r="D51" t="s">
        <v>100</v>
      </c>
    </row>
    <row r="52" spans="1:4" x14ac:dyDescent="0.3">
      <c r="A52">
        <v>51</v>
      </c>
      <c r="B52" t="s">
        <v>103</v>
      </c>
      <c r="C52">
        <v>52.16</v>
      </c>
      <c r="D52" t="s">
        <v>102</v>
      </c>
    </row>
    <row r="53" spans="1:4" x14ac:dyDescent="0.3">
      <c r="A53">
        <v>52</v>
      </c>
      <c r="B53" t="s">
        <v>105</v>
      </c>
      <c r="C53">
        <v>52.01</v>
      </c>
      <c r="D53" t="s">
        <v>104</v>
      </c>
    </row>
    <row r="54" spans="1:4" x14ac:dyDescent="0.3">
      <c r="A54">
        <v>53</v>
      </c>
      <c r="B54" t="s">
        <v>107</v>
      </c>
      <c r="C54">
        <v>51.1</v>
      </c>
      <c r="D54" t="s">
        <v>106</v>
      </c>
    </row>
    <row r="55" spans="1:4" x14ac:dyDescent="0.3">
      <c r="A55">
        <v>54</v>
      </c>
      <c r="B55" t="s">
        <v>109</v>
      </c>
      <c r="C55">
        <v>51.04</v>
      </c>
      <c r="D55" t="s">
        <v>108</v>
      </c>
    </row>
    <row r="56" spans="1:4" x14ac:dyDescent="0.3">
      <c r="A56">
        <v>55</v>
      </c>
      <c r="B56" t="s">
        <v>111</v>
      </c>
      <c r="C56">
        <v>50.86</v>
      </c>
      <c r="D56" t="s">
        <v>110</v>
      </c>
    </row>
    <row r="57" spans="1:4" x14ac:dyDescent="0.3">
      <c r="A57">
        <v>56</v>
      </c>
      <c r="B57" t="s">
        <v>113</v>
      </c>
      <c r="C57">
        <v>50.36</v>
      </c>
      <c r="D57" t="s">
        <v>112</v>
      </c>
    </row>
    <row r="58" spans="1:4" x14ac:dyDescent="0.3">
      <c r="A58">
        <v>57</v>
      </c>
      <c r="B58" t="s">
        <v>115</v>
      </c>
      <c r="C58">
        <v>50.32</v>
      </c>
      <c r="D58" t="s">
        <v>114</v>
      </c>
    </row>
    <row r="59" spans="1:4" x14ac:dyDescent="0.3">
      <c r="A59">
        <v>58</v>
      </c>
      <c r="B59" t="s">
        <v>117</v>
      </c>
      <c r="C59">
        <v>50.2</v>
      </c>
      <c r="D59" t="s">
        <v>116</v>
      </c>
    </row>
    <row r="60" spans="1:4" x14ac:dyDescent="0.3">
      <c r="A60">
        <v>59</v>
      </c>
      <c r="B60" t="s">
        <v>119</v>
      </c>
      <c r="C60">
        <v>50.06</v>
      </c>
      <c r="D60" t="s">
        <v>118</v>
      </c>
    </row>
    <row r="61" spans="1:4" x14ac:dyDescent="0.3">
      <c r="A61">
        <v>60</v>
      </c>
      <c r="B61" t="s">
        <v>121</v>
      </c>
      <c r="C61">
        <v>49.87</v>
      </c>
      <c r="D61" t="s">
        <v>120</v>
      </c>
    </row>
    <row r="62" spans="1:4" x14ac:dyDescent="0.3">
      <c r="A62">
        <v>61</v>
      </c>
      <c r="B62" t="s">
        <v>123</v>
      </c>
      <c r="C62">
        <v>49.86</v>
      </c>
      <c r="D62" t="s">
        <v>122</v>
      </c>
    </row>
    <row r="63" spans="1:4" x14ac:dyDescent="0.3">
      <c r="A63">
        <v>62</v>
      </c>
      <c r="B63" t="s">
        <v>125</v>
      </c>
      <c r="C63">
        <v>49.8</v>
      </c>
      <c r="D63" t="s">
        <v>124</v>
      </c>
    </row>
    <row r="64" spans="1:4" x14ac:dyDescent="0.3">
      <c r="A64">
        <v>63</v>
      </c>
      <c r="B64" t="s">
        <v>127</v>
      </c>
      <c r="C64">
        <v>49.72</v>
      </c>
      <c r="D64" t="s">
        <v>126</v>
      </c>
    </row>
    <row r="65" spans="1:4" x14ac:dyDescent="0.3">
      <c r="A65">
        <v>64</v>
      </c>
      <c r="B65" t="s">
        <v>129</v>
      </c>
      <c r="C65">
        <v>49.5</v>
      </c>
      <c r="D65" t="s">
        <v>128</v>
      </c>
    </row>
    <row r="66" spans="1:4" x14ac:dyDescent="0.3">
      <c r="A66">
        <v>65</v>
      </c>
      <c r="B66" t="s">
        <v>131</v>
      </c>
      <c r="C66">
        <v>49.47</v>
      </c>
      <c r="D66" t="s">
        <v>130</v>
      </c>
    </row>
    <row r="67" spans="1:4" x14ac:dyDescent="0.3">
      <c r="A67">
        <v>66</v>
      </c>
      <c r="B67" t="s">
        <v>133</v>
      </c>
      <c r="C67">
        <v>49.45</v>
      </c>
      <c r="D67" t="s">
        <v>132</v>
      </c>
    </row>
    <row r="68" spans="1:4" x14ac:dyDescent="0.3">
      <c r="A68">
        <v>67</v>
      </c>
      <c r="B68" t="s">
        <v>135</v>
      </c>
      <c r="C68">
        <v>49.38</v>
      </c>
      <c r="D68" t="s">
        <v>134</v>
      </c>
    </row>
    <row r="69" spans="1:4" x14ac:dyDescent="0.3">
      <c r="A69">
        <v>68</v>
      </c>
      <c r="B69" t="s">
        <v>137</v>
      </c>
      <c r="C69">
        <v>49.14</v>
      </c>
      <c r="D69" t="s">
        <v>136</v>
      </c>
    </row>
    <row r="70" spans="1:4" x14ac:dyDescent="0.3">
      <c r="A70">
        <v>69</v>
      </c>
      <c r="B70" t="s">
        <v>139</v>
      </c>
      <c r="C70">
        <v>49.01</v>
      </c>
      <c r="D70" t="s">
        <v>138</v>
      </c>
    </row>
    <row r="71" spans="1:4" x14ac:dyDescent="0.3">
      <c r="A71">
        <v>70</v>
      </c>
      <c r="B71" t="s">
        <v>141</v>
      </c>
      <c r="C71">
        <v>48.82</v>
      </c>
      <c r="D71" t="s">
        <v>140</v>
      </c>
    </row>
    <row r="72" spans="1:4" x14ac:dyDescent="0.3">
      <c r="A72">
        <v>71</v>
      </c>
      <c r="B72" t="s">
        <v>143</v>
      </c>
      <c r="C72">
        <v>48.67</v>
      </c>
      <c r="D72" t="s">
        <v>142</v>
      </c>
    </row>
    <row r="73" spans="1:4" x14ac:dyDescent="0.3">
      <c r="A73">
        <v>72</v>
      </c>
      <c r="B73" t="s">
        <v>145</v>
      </c>
      <c r="C73">
        <v>48.45</v>
      </c>
      <c r="D73" t="s">
        <v>144</v>
      </c>
    </row>
    <row r="74" spans="1:4" x14ac:dyDescent="0.3">
      <c r="A74">
        <v>73</v>
      </c>
      <c r="B74" t="s">
        <v>147</v>
      </c>
      <c r="C74">
        <v>48.36</v>
      </c>
      <c r="D74" t="s">
        <v>146</v>
      </c>
    </row>
    <row r="75" spans="1:4" x14ac:dyDescent="0.3">
      <c r="A75">
        <v>74</v>
      </c>
      <c r="B75" t="s">
        <v>149</v>
      </c>
      <c r="C75">
        <v>48.32</v>
      </c>
      <c r="D75" t="s">
        <v>148</v>
      </c>
    </row>
    <row r="76" spans="1:4" x14ac:dyDescent="0.3">
      <c r="A76">
        <v>75</v>
      </c>
      <c r="B76" t="s">
        <v>151</v>
      </c>
      <c r="C76">
        <v>48.1</v>
      </c>
      <c r="D76" t="s">
        <v>150</v>
      </c>
    </row>
    <row r="77" spans="1:4" x14ac:dyDescent="0.3">
      <c r="A77">
        <v>76</v>
      </c>
      <c r="B77" t="s">
        <v>153</v>
      </c>
      <c r="C77">
        <v>48.04</v>
      </c>
      <c r="D77" t="s">
        <v>152</v>
      </c>
    </row>
    <row r="78" spans="1:4" x14ac:dyDescent="0.3">
      <c r="A78">
        <v>77</v>
      </c>
      <c r="B78" t="s">
        <v>155</v>
      </c>
      <c r="C78">
        <v>48.03</v>
      </c>
      <c r="D78" t="s">
        <v>154</v>
      </c>
    </row>
    <row r="79" spans="1:4" x14ac:dyDescent="0.3">
      <c r="A79">
        <v>78</v>
      </c>
      <c r="B79" t="s">
        <v>157</v>
      </c>
      <c r="C79">
        <v>47.94</v>
      </c>
      <c r="D79" t="s">
        <v>156</v>
      </c>
    </row>
    <row r="80" spans="1:4" x14ac:dyDescent="0.3">
      <c r="A80">
        <v>79</v>
      </c>
      <c r="B80" t="s">
        <v>159</v>
      </c>
      <c r="C80">
        <v>47.8</v>
      </c>
      <c r="D80" t="s">
        <v>158</v>
      </c>
    </row>
    <row r="81" spans="1:4" x14ac:dyDescent="0.3">
      <c r="A81">
        <v>80</v>
      </c>
      <c r="B81" t="s">
        <v>161</v>
      </c>
      <c r="C81">
        <v>47.66</v>
      </c>
      <c r="D81" t="s">
        <v>160</v>
      </c>
    </row>
    <row r="82" spans="1:4" x14ac:dyDescent="0.3">
      <c r="A82">
        <v>81</v>
      </c>
      <c r="B82" t="s">
        <v>163</v>
      </c>
      <c r="C82">
        <v>47.45</v>
      </c>
      <c r="D82" t="s">
        <v>162</v>
      </c>
    </row>
    <row r="83" spans="1:4" x14ac:dyDescent="0.3">
      <c r="A83">
        <v>82</v>
      </c>
      <c r="B83" t="s">
        <v>165</v>
      </c>
      <c r="C83">
        <v>47.31</v>
      </c>
      <c r="D83" t="s">
        <v>164</v>
      </c>
    </row>
    <row r="84" spans="1:4" x14ac:dyDescent="0.3">
      <c r="A84">
        <v>83</v>
      </c>
      <c r="B84" t="s">
        <v>167</v>
      </c>
      <c r="C84">
        <v>47.11</v>
      </c>
      <c r="D84" t="s">
        <v>166</v>
      </c>
    </row>
    <row r="85" spans="1:4" x14ac:dyDescent="0.3">
      <c r="A85">
        <v>84</v>
      </c>
      <c r="B85" t="s">
        <v>169</v>
      </c>
      <c r="C85">
        <v>47.03</v>
      </c>
      <c r="D85" t="s">
        <v>168</v>
      </c>
    </row>
    <row r="86" spans="1:4" x14ac:dyDescent="0.3">
      <c r="A86">
        <v>85</v>
      </c>
      <c r="B86" t="s">
        <v>171</v>
      </c>
      <c r="C86">
        <v>46.9</v>
      </c>
      <c r="D86" t="s">
        <v>170</v>
      </c>
    </row>
    <row r="87" spans="1:4" x14ac:dyDescent="0.3">
      <c r="A87">
        <v>86</v>
      </c>
      <c r="B87" t="s">
        <v>173</v>
      </c>
      <c r="C87">
        <v>46.88</v>
      </c>
      <c r="D87" t="s">
        <v>172</v>
      </c>
    </row>
    <row r="88" spans="1:4" x14ac:dyDescent="0.3">
      <c r="A88">
        <v>87</v>
      </c>
      <c r="B88" t="s">
        <v>175</v>
      </c>
      <c r="C88">
        <v>46.65</v>
      </c>
      <c r="D88" t="s">
        <v>174</v>
      </c>
    </row>
    <row r="89" spans="1:4" x14ac:dyDescent="0.3">
      <c r="A89">
        <v>88</v>
      </c>
      <c r="B89" t="s">
        <v>177</v>
      </c>
      <c r="C89">
        <v>46.64</v>
      </c>
      <c r="D89" t="s">
        <v>176</v>
      </c>
    </row>
    <row r="90" spans="1:4" x14ac:dyDescent="0.3">
      <c r="A90">
        <v>89</v>
      </c>
      <c r="B90" t="s">
        <v>179</v>
      </c>
      <c r="C90">
        <v>46.63</v>
      </c>
      <c r="D90" t="s">
        <v>178</v>
      </c>
    </row>
    <row r="91" spans="1:4" x14ac:dyDescent="0.3">
      <c r="A91">
        <v>90</v>
      </c>
      <c r="B91" t="s">
        <v>181</v>
      </c>
      <c r="C91">
        <v>46.47</v>
      </c>
      <c r="D91" t="s">
        <v>180</v>
      </c>
    </row>
    <row r="92" spans="1:4" x14ac:dyDescent="0.3">
      <c r="A92">
        <v>90</v>
      </c>
      <c r="B92" t="s">
        <v>183</v>
      </c>
      <c r="C92">
        <v>46.47</v>
      </c>
      <c r="D92" t="s">
        <v>182</v>
      </c>
    </row>
    <row r="93" spans="1:4" x14ac:dyDescent="0.3">
      <c r="A93">
        <v>92</v>
      </c>
      <c r="B93" t="s">
        <v>185</v>
      </c>
      <c r="C93">
        <v>46.46</v>
      </c>
      <c r="D93" t="s">
        <v>184</v>
      </c>
    </row>
    <row r="94" spans="1:4" x14ac:dyDescent="0.3">
      <c r="A94">
        <v>93</v>
      </c>
      <c r="B94" t="s">
        <v>187</v>
      </c>
      <c r="C94">
        <v>46.34</v>
      </c>
      <c r="D94" t="s">
        <v>186</v>
      </c>
    </row>
    <row r="95" spans="1:4" x14ac:dyDescent="0.3">
      <c r="A95">
        <v>94</v>
      </c>
      <c r="B95" t="s">
        <v>189</v>
      </c>
      <c r="C95">
        <v>46.33</v>
      </c>
      <c r="D95" t="s">
        <v>188</v>
      </c>
    </row>
    <row r="96" spans="1:4" x14ac:dyDescent="0.3">
      <c r="A96">
        <v>95</v>
      </c>
      <c r="B96" t="s">
        <v>191</v>
      </c>
      <c r="C96">
        <v>46.31</v>
      </c>
      <c r="D96" t="s">
        <v>190</v>
      </c>
    </row>
    <row r="97" spans="1:4" x14ac:dyDescent="0.3">
      <c r="A97">
        <v>96</v>
      </c>
      <c r="B97" t="s">
        <v>193</v>
      </c>
      <c r="C97">
        <v>46.22</v>
      </c>
      <c r="D97" t="s">
        <v>192</v>
      </c>
    </row>
    <row r="98" spans="1:4" x14ac:dyDescent="0.3">
      <c r="A98">
        <v>97</v>
      </c>
      <c r="B98" t="s">
        <v>195</v>
      </c>
      <c r="C98">
        <v>45.89</v>
      </c>
      <c r="D98" t="s">
        <v>194</v>
      </c>
    </row>
    <row r="99" spans="1:4" x14ac:dyDescent="0.3">
      <c r="A99">
        <v>98</v>
      </c>
      <c r="B99" t="s">
        <v>197</v>
      </c>
      <c r="C99">
        <v>45.78</v>
      </c>
      <c r="D99" t="s">
        <v>196</v>
      </c>
    </row>
    <row r="100" spans="1:4" x14ac:dyDescent="0.3">
      <c r="A100">
        <v>99</v>
      </c>
      <c r="B100" t="s">
        <v>199</v>
      </c>
      <c r="C100">
        <v>45.73</v>
      </c>
      <c r="D100" t="s">
        <v>198</v>
      </c>
    </row>
    <row r="101" spans="1:4" x14ac:dyDescent="0.3">
      <c r="A101">
        <v>100</v>
      </c>
      <c r="B101" t="s">
        <v>201</v>
      </c>
      <c r="C101">
        <v>45.51</v>
      </c>
      <c r="D101" t="s">
        <v>200</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5D933-8606-4AEA-85A4-4349A81CC8D7}">
  <dimension ref="A1:E101"/>
  <sheetViews>
    <sheetView workbookViewId="0"/>
  </sheetViews>
  <sheetFormatPr defaultRowHeight="14.4" x14ac:dyDescent="0.3"/>
  <cols>
    <col min="1" max="1" width="12.77734375" bestFit="1" customWidth="1"/>
    <col min="2" max="2" width="12.44140625" bestFit="1" customWidth="1"/>
    <col min="3" max="3" width="67.88671875" bestFit="1" customWidth="1"/>
    <col min="4" max="4" width="13.5546875" bestFit="1" customWidth="1"/>
    <col min="5" max="5" width="14.77734375" bestFit="1" customWidth="1"/>
  </cols>
  <sheetData>
    <row r="1" spans="1:5" x14ac:dyDescent="0.3">
      <c r="A1" t="s">
        <v>505</v>
      </c>
      <c r="B1" t="s">
        <v>0</v>
      </c>
      <c r="C1" t="s">
        <v>1</v>
      </c>
      <c r="D1" t="s">
        <v>506</v>
      </c>
      <c r="E1" t="s">
        <v>507</v>
      </c>
    </row>
    <row r="2" spans="1:5" x14ac:dyDescent="0.3">
      <c r="A2">
        <v>1</v>
      </c>
      <c r="B2" t="s">
        <v>2</v>
      </c>
      <c r="C2" t="s">
        <v>3</v>
      </c>
      <c r="D2" t="s">
        <v>291</v>
      </c>
      <c r="E2" t="s">
        <v>508</v>
      </c>
    </row>
    <row r="3" spans="1:5" x14ac:dyDescent="0.3">
      <c r="A3">
        <v>2</v>
      </c>
      <c r="B3" t="s">
        <v>4</v>
      </c>
      <c r="C3" t="s">
        <v>5</v>
      </c>
      <c r="D3" t="s">
        <v>292</v>
      </c>
      <c r="E3" t="s">
        <v>508</v>
      </c>
    </row>
    <row r="4" spans="1:5" x14ac:dyDescent="0.3">
      <c r="A4">
        <v>3</v>
      </c>
      <c r="B4" t="s">
        <v>6</v>
      </c>
      <c r="C4" t="s">
        <v>7</v>
      </c>
      <c r="D4" t="s">
        <v>292</v>
      </c>
      <c r="E4" t="s">
        <v>508</v>
      </c>
    </row>
    <row r="5" spans="1:5" x14ac:dyDescent="0.3">
      <c r="A5">
        <v>4</v>
      </c>
      <c r="B5" t="s">
        <v>8</v>
      </c>
      <c r="C5" t="s">
        <v>9</v>
      </c>
      <c r="D5" t="s">
        <v>292</v>
      </c>
      <c r="E5" t="s">
        <v>508</v>
      </c>
    </row>
    <row r="6" spans="1:5" x14ac:dyDescent="0.3">
      <c r="A6">
        <v>5</v>
      </c>
      <c r="B6" t="s">
        <v>10</v>
      </c>
      <c r="C6" t="s">
        <v>11</v>
      </c>
      <c r="D6" t="s">
        <v>292</v>
      </c>
      <c r="E6" t="s">
        <v>508</v>
      </c>
    </row>
    <row r="7" spans="1:5" x14ac:dyDescent="0.3">
      <c r="A7">
        <v>6</v>
      </c>
      <c r="B7" t="s">
        <v>12</v>
      </c>
      <c r="C7" t="s">
        <v>13</v>
      </c>
      <c r="D7" t="s">
        <v>292</v>
      </c>
      <c r="E7" t="s">
        <v>508</v>
      </c>
    </row>
    <row r="8" spans="1:5" x14ac:dyDescent="0.3">
      <c r="A8">
        <v>7</v>
      </c>
      <c r="B8" t="s">
        <v>14</v>
      </c>
      <c r="C8" t="s">
        <v>15</v>
      </c>
      <c r="D8" t="s">
        <v>292</v>
      </c>
      <c r="E8" t="s">
        <v>508</v>
      </c>
    </row>
    <row r="9" spans="1:5" x14ac:dyDescent="0.3">
      <c r="A9">
        <v>8</v>
      </c>
      <c r="B9" t="s">
        <v>16</v>
      </c>
      <c r="C9" t="s">
        <v>17</v>
      </c>
      <c r="D9" t="s">
        <v>292</v>
      </c>
      <c r="E9" t="s">
        <v>508</v>
      </c>
    </row>
    <row r="10" spans="1:5" x14ac:dyDescent="0.3">
      <c r="A10">
        <v>9</v>
      </c>
      <c r="B10" t="s">
        <v>18</v>
      </c>
      <c r="C10" t="s">
        <v>19</v>
      </c>
      <c r="D10" t="s">
        <v>292</v>
      </c>
      <c r="E10" t="s">
        <v>508</v>
      </c>
    </row>
    <row r="11" spans="1:5" x14ac:dyDescent="0.3">
      <c r="A11">
        <v>10</v>
      </c>
      <c r="B11" t="s">
        <v>20</v>
      </c>
      <c r="C11" t="s">
        <v>21</v>
      </c>
      <c r="D11" t="s">
        <v>292</v>
      </c>
      <c r="E11" t="s">
        <v>508</v>
      </c>
    </row>
    <row r="12" spans="1:5" x14ac:dyDescent="0.3">
      <c r="A12">
        <v>11</v>
      </c>
      <c r="B12" t="s">
        <v>22</v>
      </c>
      <c r="C12" t="s">
        <v>23</v>
      </c>
      <c r="D12" t="s">
        <v>292</v>
      </c>
      <c r="E12" t="s">
        <v>508</v>
      </c>
    </row>
    <row r="13" spans="1:5" x14ac:dyDescent="0.3">
      <c r="A13">
        <v>12</v>
      </c>
      <c r="B13" t="s">
        <v>24</v>
      </c>
      <c r="C13" t="s">
        <v>25</v>
      </c>
      <c r="D13" t="s">
        <v>292</v>
      </c>
      <c r="E13" t="s">
        <v>508</v>
      </c>
    </row>
    <row r="14" spans="1:5" x14ac:dyDescent="0.3">
      <c r="A14">
        <v>13</v>
      </c>
      <c r="B14" t="s">
        <v>26</v>
      </c>
      <c r="C14" t="s">
        <v>27</v>
      </c>
      <c r="D14" t="s">
        <v>292</v>
      </c>
      <c r="E14" t="s">
        <v>508</v>
      </c>
    </row>
    <row r="15" spans="1:5" x14ac:dyDescent="0.3">
      <c r="A15">
        <v>14</v>
      </c>
      <c r="B15" t="s">
        <v>28</v>
      </c>
      <c r="C15" t="s">
        <v>29</v>
      </c>
      <c r="D15" t="s">
        <v>292</v>
      </c>
      <c r="E15" t="s">
        <v>508</v>
      </c>
    </row>
    <row r="16" spans="1:5" x14ac:dyDescent="0.3">
      <c r="A16">
        <v>15</v>
      </c>
      <c r="B16" t="s">
        <v>30</v>
      </c>
      <c r="C16" t="s">
        <v>31</v>
      </c>
      <c r="D16" t="s">
        <v>292</v>
      </c>
      <c r="E16" t="s">
        <v>508</v>
      </c>
    </row>
    <row r="17" spans="1:5" x14ac:dyDescent="0.3">
      <c r="A17">
        <v>16</v>
      </c>
      <c r="B17" t="s">
        <v>32</v>
      </c>
      <c r="C17" t="s">
        <v>33</v>
      </c>
      <c r="D17" t="s">
        <v>292</v>
      </c>
      <c r="E17" t="s">
        <v>508</v>
      </c>
    </row>
    <row r="18" spans="1:5" x14ac:dyDescent="0.3">
      <c r="A18">
        <v>17</v>
      </c>
      <c r="B18" t="s">
        <v>34</v>
      </c>
      <c r="C18" t="s">
        <v>35</v>
      </c>
      <c r="D18" t="s">
        <v>292</v>
      </c>
      <c r="E18" t="s">
        <v>508</v>
      </c>
    </row>
    <row r="19" spans="1:5" x14ac:dyDescent="0.3">
      <c r="A19">
        <v>18</v>
      </c>
      <c r="B19" t="s">
        <v>36</v>
      </c>
      <c r="C19" t="s">
        <v>37</v>
      </c>
      <c r="D19" t="s">
        <v>292</v>
      </c>
      <c r="E19" t="s">
        <v>508</v>
      </c>
    </row>
    <row r="20" spans="1:5" x14ac:dyDescent="0.3">
      <c r="A20">
        <v>19</v>
      </c>
      <c r="B20" t="s">
        <v>38</v>
      </c>
      <c r="C20" t="s">
        <v>39</v>
      </c>
      <c r="D20" t="s">
        <v>292</v>
      </c>
      <c r="E20" t="s">
        <v>508</v>
      </c>
    </row>
    <row r="21" spans="1:5" x14ac:dyDescent="0.3">
      <c r="A21">
        <v>20</v>
      </c>
      <c r="B21" t="s">
        <v>40</v>
      </c>
      <c r="C21" t="s">
        <v>41</v>
      </c>
      <c r="D21" t="s">
        <v>293</v>
      </c>
      <c r="E21" t="s">
        <v>508</v>
      </c>
    </row>
    <row r="22" spans="1:5" x14ac:dyDescent="0.3">
      <c r="A22">
        <v>21</v>
      </c>
      <c r="B22" t="s">
        <v>42</v>
      </c>
      <c r="C22" t="s">
        <v>43</v>
      </c>
      <c r="D22" t="s">
        <v>293</v>
      </c>
      <c r="E22" t="s">
        <v>508</v>
      </c>
    </row>
    <row r="23" spans="1:5" x14ac:dyDescent="0.3">
      <c r="A23">
        <v>22</v>
      </c>
      <c r="B23" t="s">
        <v>44</v>
      </c>
      <c r="C23" t="s">
        <v>45</v>
      </c>
      <c r="D23" t="s">
        <v>293</v>
      </c>
      <c r="E23" t="s">
        <v>508</v>
      </c>
    </row>
    <row r="24" spans="1:5" x14ac:dyDescent="0.3">
      <c r="A24">
        <v>23</v>
      </c>
      <c r="B24" t="s">
        <v>46</v>
      </c>
      <c r="C24" t="s">
        <v>47</v>
      </c>
      <c r="D24" t="s">
        <v>293</v>
      </c>
      <c r="E24" t="s">
        <v>508</v>
      </c>
    </row>
    <row r="25" spans="1:5" x14ac:dyDescent="0.3">
      <c r="A25">
        <v>24</v>
      </c>
      <c r="B25" t="s">
        <v>48</v>
      </c>
      <c r="C25" t="s">
        <v>49</v>
      </c>
      <c r="D25" t="s">
        <v>293</v>
      </c>
      <c r="E25" t="s">
        <v>508</v>
      </c>
    </row>
    <row r="26" spans="1:5" x14ac:dyDescent="0.3">
      <c r="A26">
        <v>25</v>
      </c>
      <c r="B26" t="s">
        <v>50</v>
      </c>
      <c r="C26" t="s">
        <v>51</v>
      </c>
      <c r="D26" t="s">
        <v>293</v>
      </c>
      <c r="E26" t="s">
        <v>508</v>
      </c>
    </row>
    <row r="27" spans="1:5" x14ac:dyDescent="0.3">
      <c r="A27">
        <v>26</v>
      </c>
      <c r="B27" t="s">
        <v>52</v>
      </c>
      <c r="C27" t="s">
        <v>53</v>
      </c>
      <c r="D27" t="s">
        <v>293</v>
      </c>
      <c r="E27" t="s">
        <v>508</v>
      </c>
    </row>
    <row r="28" spans="1:5" x14ac:dyDescent="0.3">
      <c r="A28">
        <v>27</v>
      </c>
      <c r="B28" t="s">
        <v>54</v>
      </c>
      <c r="C28" t="s">
        <v>55</v>
      </c>
      <c r="D28" t="s">
        <v>293</v>
      </c>
      <c r="E28" t="s">
        <v>508</v>
      </c>
    </row>
    <row r="29" spans="1:5" x14ac:dyDescent="0.3">
      <c r="A29">
        <v>28</v>
      </c>
      <c r="B29" t="s">
        <v>56</v>
      </c>
      <c r="C29" t="s">
        <v>57</v>
      </c>
      <c r="D29" t="s">
        <v>293</v>
      </c>
      <c r="E29" t="s">
        <v>508</v>
      </c>
    </row>
    <row r="30" spans="1:5" x14ac:dyDescent="0.3">
      <c r="A30">
        <v>29</v>
      </c>
      <c r="B30" t="s">
        <v>58</v>
      </c>
      <c r="C30" t="s">
        <v>59</v>
      </c>
      <c r="D30" t="s">
        <v>293</v>
      </c>
      <c r="E30" t="s">
        <v>508</v>
      </c>
    </row>
    <row r="31" spans="1:5" x14ac:dyDescent="0.3">
      <c r="A31">
        <v>30</v>
      </c>
      <c r="B31" t="s">
        <v>60</v>
      </c>
      <c r="C31" t="s">
        <v>61</v>
      </c>
      <c r="D31" t="s">
        <v>293</v>
      </c>
      <c r="E31" t="s">
        <v>508</v>
      </c>
    </row>
    <row r="32" spans="1:5" x14ac:dyDescent="0.3">
      <c r="A32">
        <v>31</v>
      </c>
      <c r="B32" t="s">
        <v>62</v>
      </c>
      <c r="C32" t="s">
        <v>63</v>
      </c>
      <c r="D32" t="s">
        <v>293</v>
      </c>
      <c r="E32" t="s">
        <v>508</v>
      </c>
    </row>
    <row r="33" spans="1:5" x14ac:dyDescent="0.3">
      <c r="A33">
        <v>32</v>
      </c>
      <c r="B33" t="s">
        <v>64</v>
      </c>
      <c r="C33" t="s">
        <v>65</v>
      </c>
      <c r="D33" t="s">
        <v>293</v>
      </c>
      <c r="E33" t="s">
        <v>508</v>
      </c>
    </row>
    <row r="34" spans="1:5" x14ac:dyDescent="0.3">
      <c r="A34">
        <v>33</v>
      </c>
      <c r="B34" t="s">
        <v>66</v>
      </c>
      <c r="C34" t="s">
        <v>67</v>
      </c>
      <c r="D34" t="s">
        <v>293</v>
      </c>
      <c r="E34" t="s">
        <v>508</v>
      </c>
    </row>
    <row r="35" spans="1:5" x14ac:dyDescent="0.3">
      <c r="A35">
        <v>34</v>
      </c>
      <c r="B35" t="s">
        <v>68</v>
      </c>
      <c r="C35" t="s">
        <v>69</v>
      </c>
      <c r="D35" t="s">
        <v>293</v>
      </c>
      <c r="E35" t="s">
        <v>508</v>
      </c>
    </row>
    <row r="36" spans="1:5" x14ac:dyDescent="0.3">
      <c r="A36">
        <v>35</v>
      </c>
      <c r="B36" t="s">
        <v>70</v>
      </c>
      <c r="C36" t="s">
        <v>71</v>
      </c>
      <c r="D36" t="s">
        <v>293</v>
      </c>
      <c r="E36" t="s">
        <v>508</v>
      </c>
    </row>
    <row r="37" spans="1:5" x14ac:dyDescent="0.3">
      <c r="A37">
        <v>36</v>
      </c>
      <c r="B37" t="s">
        <v>72</v>
      </c>
      <c r="C37" t="s">
        <v>73</v>
      </c>
      <c r="D37" t="s">
        <v>293</v>
      </c>
      <c r="E37" t="s">
        <v>508</v>
      </c>
    </row>
    <row r="38" spans="1:5" x14ac:dyDescent="0.3">
      <c r="A38">
        <v>37</v>
      </c>
      <c r="B38" t="s">
        <v>74</v>
      </c>
      <c r="C38" t="s">
        <v>75</v>
      </c>
      <c r="D38" t="s">
        <v>293</v>
      </c>
      <c r="E38" t="s">
        <v>508</v>
      </c>
    </row>
    <row r="39" spans="1:5" x14ac:dyDescent="0.3">
      <c r="A39">
        <v>38</v>
      </c>
      <c r="B39" t="s">
        <v>76</v>
      </c>
      <c r="C39" t="s">
        <v>77</v>
      </c>
      <c r="D39" t="s">
        <v>293</v>
      </c>
      <c r="E39" t="s">
        <v>508</v>
      </c>
    </row>
    <row r="40" spans="1:5" x14ac:dyDescent="0.3">
      <c r="A40">
        <v>39</v>
      </c>
      <c r="B40" t="s">
        <v>78</v>
      </c>
      <c r="C40" t="s">
        <v>79</v>
      </c>
      <c r="D40" t="s">
        <v>293</v>
      </c>
      <c r="E40" t="s">
        <v>508</v>
      </c>
    </row>
    <row r="41" spans="1:5" x14ac:dyDescent="0.3">
      <c r="A41">
        <v>40</v>
      </c>
      <c r="B41" t="s">
        <v>80</v>
      </c>
      <c r="C41" t="s">
        <v>81</v>
      </c>
      <c r="D41" t="s">
        <v>293</v>
      </c>
      <c r="E41" t="s">
        <v>508</v>
      </c>
    </row>
    <row r="42" spans="1:5" x14ac:dyDescent="0.3">
      <c r="A42">
        <v>40</v>
      </c>
      <c r="B42" t="s">
        <v>82</v>
      </c>
      <c r="C42" t="s">
        <v>83</v>
      </c>
      <c r="D42" t="s">
        <v>293</v>
      </c>
      <c r="E42" t="s">
        <v>508</v>
      </c>
    </row>
    <row r="43" spans="1:5" x14ac:dyDescent="0.3">
      <c r="A43">
        <v>42</v>
      </c>
      <c r="B43" t="s">
        <v>84</v>
      </c>
      <c r="C43" t="s">
        <v>85</v>
      </c>
      <c r="D43" t="s">
        <v>293</v>
      </c>
      <c r="E43" t="s">
        <v>508</v>
      </c>
    </row>
    <row r="44" spans="1:5" x14ac:dyDescent="0.3">
      <c r="A44">
        <v>43</v>
      </c>
      <c r="B44" t="s">
        <v>86</v>
      </c>
      <c r="C44" t="s">
        <v>87</v>
      </c>
      <c r="D44" t="s">
        <v>293</v>
      </c>
      <c r="E44" t="s">
        <v>508</v>
      </c>
    </row>
    <row r="45" spans="1:5" x14ac:dyDescent="0.3">
      <c r="A45">
        <v>44</v>
      </c>
      <c r="B45" t="s">
        <v>88</v>
      </c>
      <c r="C45" t="s">
        <v>89</v>
      </c>
      <c r="D45" t="s">
        <v>293</v>
      </c>
      <c r="E45" t="s">
        <v>508</v>
      </c>
    </row>
    <row r="46" spans="1:5" x14ac:dyDescent="0.3">
      <c r="A46">
        <v>45</v>
      </c>
      <c r="B46" t="s">
        <v>90</v>
      </c>
      <c r="C46" t="s">
        <v>91</v>
      </c>
      <c r="D46" t="s">
        <v>293</v>
      </c>
      <c r="E46" t="s">
        <v>508</v>
      </c>
    </row>
    <row r="47" spans="1:5" x14ac:dyDescent="0.3">
      <c r="A47">
        <v>46</v>
      </c>
      <c r="B47" t="s">
        <v>92</v>
      </c>
      <c r="C47" t="s">
        <v>93</v>
      </c>
      <c r="D47" t="s">
        <v>293</v>
      </c>
      <c r="E47" t="s">
        <v>508</v>
      </c>
    </row>
    <row r="48" spans="1:5" x14ac:dyDescent="0.3">
      <c r="A48">
        <v>47</v>
      </c>
      <c r="B48" t="s">
        <v>94</v>
      </c>
      <c r="C48" t="s">
        <v>95</v>
      </c>
      <c r="D48" t="s">
        <v>293</v>
      </c>
      <c r="E48" t="s">
        <v>508</v>
      </c>
    </row>
    <row r="49" spans="1:5" x14ac:dyDescent="0.3">
      <c r="A49">
        <v>48</v>
      </c>
      <c r="B49" t="s">
        <v>96</v>
      </c>
      <c r="C49" t="s">
        <v>97</v>
      </c>
      <c r="D49" t="s">
        <v>293</v>
      </c>
      <c r="E49" t="s">
        <v>508</v>
      </c>
    </row>
    <row r="50" spans="1:5" x14ac:dyDescent="0.3">
      <c r="A50">
        <v>49</v>
      </c>
      <c r="B50" t="s">
        <v>98</v>
      </c>
      <c r="C50" t="s">
        <v>99</v>
      </c>
      <c r="D50" t="s">
        <v>293</v>
      </c>
      <c r="E50" t="s">
        <v>508</v>
      </c>
    </row>
    <row r="51" spans="1:5" x14ac:dyDescent="0.3">
      <c r="A51">
        <v>50</v>
      </c>
      <c r="B51" t="s">
        <v>100</v>
      </c>
      <c r="C51" t="s">
        <v>101</v>
      </c>
      <c r="D51" t="s">
        <v>293</v>
      </c>
      <c r="E51" t="s">
        <v>508</v>
      </c>
    </row>
    <row r="52" spans="1:5" x14ac:dyDescent="0.3">
      <c r="A52">
        <v>51</v>
      </c>
      <c r="B52" t="s">
        <v>102</v>
      </c>
      <c r="C52" t="s">
        <v>103</v>
      </c>
      <c r="D52" t="s">
        <v>293</v>
      </c>
      <c r="E52" t="s">
        <v>508</v>
      </c>
    </row>
    <row r="53" spans="1:5" x14ac:dyDescent="0.3">
      <c r="A53">
        <v>52</v>
      </c>
      <c r="B53" t="s">
        <v>104</v>
      </c>
      <c r="C53" t="s">
        <v>105</v>
      </c>
      <c r="D53" t="s">
        <v>293</v>
      </c>
      <c r="E53" t="s">
        <v>508</v>
      </c>
    </row>
    <row r="54" spans="1:5" x14ac:dyDescent="0.3">
      <c r="A54">
        <v>53</v>
      </c>
      <c r="B54" t="s">
        <v>106</v>
      </c>
      <c r="C54" t="s">
        <v>107</v>
      </c>
      <c r="D54" t="s">
        <v>293</v>
      </c>
      <c r="E54" t="s">
        <v>508</v>
      </c>
    </row>
    <row r="55" spans="1:5" x14ac:dyDescent="0.3">
      <c r="A55">
        <v>54</v>
      </c>
      <c r="B55" t="s">
        <v>108</v>
      </c>
      <c r="C55" t="s">
        <v>109</v>
      </c>
      <c r="D55" t="s">
        <v>293</v>
      </c>
      <c r="E55" t="s">
        <v>508</v>
      </c>
    </row>
    <row r="56" spans="1:5" x14ac:dyDescent="0.3">
      <c r="A56">
        <v>55</v>
      </c>
      <c r="B56" t="s">
        <v>110</v>
      </c>
      <c r="C56" t="s">
        <v>111</v>
      </c>
      <c r="D56" t="s">
        <v>293</v>
      </c>
      <c r="E56" t="s">
        <v>508</v>
      </c>
    </row>
    <row r="57" spans="1:5" x14ac:dyDescent="0.3">
      <c r="A57">
        <v>56</v>
      </c>
      <c r="B57" t="s">
        <v>112</v>
      </c>
      <c r="C57" t="s">
        <v>113</v>
      </c>
      <c r="D57" t="s">
        <v>293</v>
      </c>
      <c r="E57" t="s">
        <v>508</v>
      </c>
    </row>
    <row r="58" spans="1:5" x14ac:dyDescent="0.3">
      <c r="A58">
        <v>57</v>
      </c>
      <c r="B58" t="s">
        <v>114</v>
      </c>
      <c r="C58" t="s">
        <v>115</v>
      </c>
      <c r="D58" t="s">
        <v>293</v>
      </c>
      <c r="E58" t="s">
        <v>508</v>
      </c>
    </row>
    <row r="59" spans="1:5" x14ac:dyDescent="0.3">
      <c r="A59">
        <v>58</v>
      </c>
      <c r="B59" t="s">
        <v>116</v>
      </c>
      <c r="C59" t="s">
        <v>117</v>
      </c>
      <c r="D59" t="s">
        <v>293</v>
      </c>
      <c r="E59" t="s">
        <v>508</v>
      </c>
    </row>
    <row r="60" spans="1:5" x14ac:dyDescent="0.3">
      <c r="A60">
        <v>59</v>
      </c>
      <c r="B60" t="s">
        <v>118</v>
      </c>
      <c r="C60" t="s">
        <v>119</v>
      </c>
      <c r="D60" t="s">
        <v>293</v>
      </c>
      <c r="E60" t="s">
        <v>508</v>
      </c>
    </row>
    <row r="61" spans="1:5" x14ac:dyDescent="0.3">
      <c r="A61">
        <v>60</v>
      </c>
      <c r="B61" t="s">
        <v>120</v>
      </c>
      <c r="C61" t="s">
        <v>121</v>
      </c>
      <c r="D61" t="s">
        <v>294</v>
      </c>
      <c r="E61" t="s">
        <v>508</v>
      </c>
    </row>
    <row r="62" spans="1:5" x14ac:dyDescent="0.3">
      <c r="A62">
        <v>61</v>
      </c>
      <c r="B62" t="s">
        <v>122</v>
      </c>
      <c r="C62" t="s">
        <v>123</v>
      </c>
      <c r="D62" t="s">
        <v>294</v>
      </c>
      <c r="E62" t="s">
        <v>508</v>
      </c>
    </row>
    <row r="63" spans="1:5" x14ac:dyDescent="0.3">
      <c r="A63">
        <v>62</v>
      </c>
      <c r="B63" t="s">
        <v>124</v>
      </c>
      <c r="C63" t="s">
        <v>125</v>
      </c>
      <c r="D63" t="s">
        <v>294</v>
      </c>
      <c r="E63" t="s">
        <v>508</v>
      </c>
    </row>
    <row r="64" spans="1:5" x14ac:dyDescent="0.3">
      <c r="A64">
        <v>63</v>
      </c>
      <c r="B64" t="s">
        <v>126</v>
      </c>
      <c r="C64" t="s">
        <v>127</v>
      </c>
      <c r="D64" t="s">
        <v>294</v>
      </c>
      <c r="E64" t="s">
        <v>508</v>
      </c>
    </row>
    <row r="65" spans="1:5" x14ac:dyDescent="0.3">
      <c r="A65">
        <v>64</v>
      </c>
      <c r="B65" t="s">
        <v>128</v>
      </c>
      <c r="C65" t="s">
        <v>129</v>
      </c>
      <c r="D65" t="s">
        <v>294</v>
      </c>
      <c r="E65" t="s">
        <v>508</v>
      </c>
    </row>
    <row r="66" spans="1:5" x14ac:dyDescent="0.3">
      <c r="A66">
        <v>65</v>
      </c>
      <c r="B66" t="s">
        <v>130</v>
      </c>
      <c r="C66" t="s">
        <v>131</v>
      </c>
      <c r="D66" t="s">
        <v>294</v>
      </c>
      <c r="E66" t="s">
        <v>508</v>
      </c>
    </row>
    <row r="67" spans="1:5" x14ac:dyDescent="0.3">
      <c r="A67">
        <v>66</v>
      </c>
      <c r="B67" t="s">
        <v>132</v>
      </c>
      <c r="C67" t="s">
        <v>133</v>
      </c>
      <c r="D67" t="s">
        <v>294</v>
      </c>
      <c r="E67" t="s">
        <v>508</v>
      </c>
    </row>
    <row r="68" spans="1:5" x14ac:dyDescent="0.3">
      <c r="A68">
        <v>67</v>
      </c>
      <c r="B68" t="s">
        <v>134</v>
      </c>
      <c r="C68" t="s">
        <v>135</v>
      </c>
      <c r="D68" t="s">
        <v>294</v>
      </c>
      <c r="E68" t="s">
        <v>508</v>
      </c>
    </row>
    <row r="69" spans="1:5" x14ac:dyDescent="0.3">
      <c r="A69">
        <v>68</v>
      </c>
      <c r="B69" t="s">
        <v>136</v>
      </c>
      <c r="C69" t="s">
        <v>137</v>
      </c>
      <c r="D69" t="s">
        <v>294</v>
      </c>
      <c r="E69" t="s">
        <v>508</v>
      </c>
    </row>
    <row r="70" spans="1:5" x14ac:dyDescent="0.3">
      <c r="A70">
        <v>69</v>
      </c>
      <c r="B70" t="s">
        <v>138</v>
      </c>
      <c r="C70" t="s">
        <v>139</v>
      </c>
      <c r="D70" t="s">
        <v>294</v>
      </c>
      <c r="E70" t="s">
        <v>508</v>
      </c>
    </row>
    <row r="71" spans="1:5" x14ac:dyDescent="0.3">
      <c r="A71">
        <v>70</v>
      </c>
      <c r="B71" t="s">
        <v>140</v>
      </c>
      <c r="C71" t="s">
        <v>141</v>
      </c>
      <c r="D71" t="s">
        <v>294</v>
      </c>
      <c r="E71" t="s">
        <v>508</v>
      </c>
    </row>
    <row r="72" spans="1:5" x14ac:dyDescent="0.3">
      <c r="A72">
        <v>71</v>
      </c>
      <c r="B72" t="s">
        <v>142</v>
      </c>
      <c r="C72" t="s">
        <v>143</v>
      </c>
      <c r="D72" t="s">
        <v>294</v>
      </c>
      <c r="E72" t="s">
        <v>508</v>
      </c>
    </row>
    <row r="73" spans="1:5" x14ac:dyDescent="0.3">
      <c r="A73">
        <v>72</v>
      </c>
      <c r="B73" t="s">
        <v>144</v>
      </c>
      <c r="C73" t="s">
        <v>145</v>
      </c>
      <c r="D73" t="s">
        <v>294</v>
      </c>
      <c r="E73" t="s">
        <v>508</v>
      </c>
    </row>
    <row r="74" spans="1:5" x14ac:dyDescent="0.3">
      <c r="A74">
        <v>73</v>
      </c>
      <c r="B74" t="s">
        <v>146</v>
      </c>
      <c r="C74" t="s">
        <v>147</v>
      </c>
      <c r="D74" t="s">
        <v>294</v>
      </c>
      <c r="E74" t="s">
        <v>508</v>
      </c>
    </row>
    <row r="75" spans="1:5" x14ac:dyDescent="0.3">
      <c r="A75">
        <v>74</v>
      </c>
      <c r="B75" t="s">
        <v>148</v>
      </c>
      <c r="C75" t="s">
        <v>149</v>
      </c>
      <c r="D75" t="s">
        <v>294</v>
      </c>
      <c r="E75" t="s">
        <v>508</v>
      </c>
    </row>
    <row r="76" spans="1:5" x14ac:dyDescent="0.3">
      <c r="A76">
        <v>75</v>
      </c>
      <c r="B76" t="s">
        <v>150</v>
      </c>
      <c r="C76" t="s">
        <v>151</v>
      </c>
      <c r="D76" t="s">
        <v>294</v>
      </c>
      <c r="E76" t="s">
        <v>508</v>
      </c>
    </row>
    <row r="77" spans="1:5" x14ac:dyDescent="0.3">
      <c r="A77">
        <v>76</v>
      </c>
      <c r="B77" t="s">
        <v>152</v>
      </c>
      <c r="C77" t="s">
        <v>153</v>
      </c>
      <c r="D77" t="s">
        <v>294</v>
      </c>
      <c r="E77" t="s">
        <v>508</v>
      </c>
    </row>
    <row r="78" spans="1:5" x14ac:dyDescent="0.3">
      <c r="A78">
        <v>77</v>
      </c>
      <c r="B78" t="s">
        <v>154</v>
      </c>
      <c r="C78" t="s">
        <v>155</v>
      </c>
      <c r="D78" t="s">
        <v>294</v>
      </c>
      <c r="E78" t="s">
        <v>508</v>
      </c>
    </row>
    <row r="79" spans="1:5" x14ac:dyDescent="0.3">
      <c r="A79">
        <v>78</v>
      </c>
      <c r="B79" t="s">
        <v>156</v>
      </c>
      <c r="C79" t="s">
        <v>157</v>
      </c>
      <c r="D79" t="s">
        <v>294</v>
      </c>
      <c r="E79" t="s">
        <v>508</v>
      </c>
    </row>
    <row r="80" spans="1:5" x14ac:dyDescent="0.3">
      <c r="A80">
        <v>79</v>
      </c>
      <c r="B80" t="s">
        <v>158</v>
      </c>
      <c r="C80" t="s">
        <v>159</v>
      </c>
      <c r="D80" t="s">
        <v>294</v>
      </c>
      <c r="E80" t="s">
        <v>508</v>
      </c>
    </row>
    <row r="81" spans="1:5" x14ac:dyDescent="0.3">
      <c r="A81">
        <v>80</v>
      </c>
      <c r="B81" t="s">
        <v>160</v>
      </c>
      <c r="C81" t="s">
        <v>161</v>
      </c>
      <c r="D81" t="s">
        <v>294</v>
      </c>
      <c r="E81" t="s">
        <v>508</v>
      </c>
    </row>
    <row r="82" spans="1:5" x14ac:dyDescent="0.3">
      <c r="A82">
        <v>81</v>
      </c>
      <c r="B82" t="s">
        <v>162</v>
      </c>
      <c r="C82" t="s">
        <v>163</v>
      </c>
      <c r="D82" t="s">
        <v>294</v>
      </c>
      <c r="E82" t="s">
        <v>508</v>
      </c>
    </row>
    <row r="83" spans="1:5" x14ac:dyDescent="0.3">
      <c r="A83">
        <v>82</v>
      </c>
      <c r="B83" t="s">
        <v>164</v>
      </c>
      <c r="C83" t="s">
        <v>165</v>
      </c>
      <c r="D83" t="s">
        <v>294</v>
      </c>
      <c r="E83" t="s">
        <v>508</v>
      </c>
    </row>
    <row r="84" spans="1:5" x14ac:dyDescent="0.3">
      <c r="A84">
        <v>83</v>
      </c>
      <c r="B84" t="s">
        <v>166</v>
      </c>
      <c r="C84" t="s">
        <v>167</v>
      </c>
      <c r="D84" t="s">
        <v>294</v>
      </c>
      <c r="E84" t="s">
        <v>508</v>
      </c>
    </row>
    <row r="85" spans="1:5" x14ac:dyDescent="0.3">
      <c r="A85">
        <v>84</v>
      </c>
      <c r="B85" t="s">
        <v>168</v>
      </c>
      <c r="C85" t="s">
        <v>169</v>
      </c>
      <c r="D85" t="s">
        <v>294</v>
      </c>
      <c r="E85" t="s">
        <v>508</v>
      </c>
    </row>
    <row r="86" spans="1:5" x14ac:dyDescent="0.3">
      <c r="A86">
        <v>85</v>
      </c>
      <c r="B86" t="s">
        <v>170</v>
      </c>
      <c r="C86" t="s">
        <v>171</v>
      </c>
      <c r="D86" t="s">
        <v>294</v>
      </c>
      <c r="E86" t="s">
        <v>508</v>
      </c>
    </row>
    <row r="87" spans="1:5" x14ac:dyDescent="0.3">
      <c r="A87">
        <v>86</v>
      </c>
      <c r="B87" t="s">
        <v>172</v>
      </c>
      <c r="C87" t="s">
        <v>173</v>
      </c>
      <c r="D87" t="s">
        <v>294</v>
      </c>
      <c r="E87" t="s">
        <v>508</v>
      </c>
    </row>
    <row r="88" spans="1:5" x14ac:dyDescent="0.3">
      <c r="A88">
        <v>87</v>
      </c>
      <c r="B88" t="s">
        <v>174</v>
      </c>
      <c r="C88" t="s">
        <v>175</v>
      </c>
      <c r="D88" t="s">
        <v>294</v>
      </c>
      <c r="E88" t="s">
        <v>508</v>
      </c>
    </row>
    <row r="89" spans="1:5" x14ac:dyDescent="0.3">
      <c r="A89">
        <v>88</v>
      </c>
      <c r="B89" t="s">
        <v>176</v>
      </c>
      <c r="C89" t="s">
        <v>177</v>
      </c>
      <c r="D89" t="s">
        <v>294</v>
      </c>
      <c r="E89" t="s">
        <v>508</v>
      </c>
    </row>
    <row r="90" spans="1:5" x14ac:dyDescent="0.3">
      <c r="A90">
        <v>89</v>
      </c>
      <c r="B90" t="s">
        <v>178</v>
      </c>
      <c r="C90" t="s">
        <v>179</v>
      </c>
      <c r="D90" t="s">
        <v>294</v>
      </c>
      <c r="E90" t="s">
        <v>508</v>
      </c>
    </row>
    <row r="91" spans="1:5" x14ac:dyDescent="0.3">
      <c r="A91">
        <v>90</v>
      </c>
      <c r="B91" t="s">
        <v>180</v>
      </c>
      <c r="C91" t="s">
        <v>181</v>
      </c>
      <c r="D91" t="s">
        <v>294</v>
      </c>
      <c r="E91" t="s">
        <v>508</v>
      </c>
    </row>
    <row r="92" spans="1:5" x14ac:dyDescent="0.3">
      <c r="A92">
        <v>90</v>
      </c>
      <c r="B92" t="s">
        <v>182</v>
      </c>
      <c r="C92" t="s">
        <v>183</v>
      </c>
      <c r="D92" t="s">
        <v>294</v>
      </c>
      <c r="E92" t="s">
        <v>508</v>
      </c>
    </row>
    <row r="93" spans="1:5" x14ac:dyDescent="0.3">
      <c r="A93">
        <v>92</v>
      </c>
      <c r="B93" t="s">
        <v>184</v>
      </c>
      <c r="C93" t="s">
        <v>185</v>
      </c>
      <c r="D93" t="s">
        <v>294</v>
      </c>
      <c r="E93" t="s">
        <v>508</v>
      </c>
    </row>
    <row r="94" spans="1:5" x14ac:dyDescent="0.3">
      <c r="A94">
        <v>93</v>
      </c>
      <c r="B94" t="s">
        <v>186</v>
      </c>
      <c r="C94" t="s">
        <v>187</v>
      </c>
      <c r="D94" t="s">
        <v>294</v>
      </c>
      <c r="E94" t="s">
        <v>508</v>
      </c>
    </row>
    <row r="95" spans="1:5" x14ac:dyDescent="0.3">
      <c r="A95">
        <v>94</v>
      </c>
      <c r="B95" t="s">
        <v>188</v>
      </c>
      <c r="C95" t="s">
        <v>189</v>
      </c>
      <c r="D95" t="s">
        <v>294</v>
      </c>
      <c r="E95" t="s">
        <v>508</v>
      </c>
    </row>
    <row r="96" spans="1:5" x14ac:dyDescent="0.3">
      <c r="A96">
        <v>95</v>
      </c>
      <c r="B96" t="s">
        <v>190</v>
      </c>
      <c r="C96" t="s">
        <v>191</v>
      </c>
      <c r="D96" t="s">
        <v>294</v>
      </c>
      <c r="E96" t="s">
        <v>508</v>
      </c>
    </row>
    <row r="97" spans="1:5" x14ac:dyDescent="0.3">
      <c r="A97">
        <v>96</v>
      </c>
      <c r="B97" t="s">
        <v>192</v>
      </c>
      <c r="C97" t="s">
        <v>193</v>
      </c>
      <c r="D97" t="s">
        <v>294</v>
      </c>
      <c r="E97" t="s">
        <v>508</v>
      </c>
    </row>
    <row r="98" spans="1:5" x14ac:dyDescent="0.3">
      <c r="A98">
        <v>97</v>
      </c>
      <c r="B98" t="s">
        <v>194</v>
      </c>
      <c r="C98" t="s">
        <v>195</v>
      </c>
      <c r="D98" t="s">
        <v>294</v>
      </c>
      <c r="E98" t="s">
        <v>508</v>
      </c>
    </row>
    <row r="99" spans="1:5" x14ac:dyDescent="0.3">
      <c r="A99">
        <v>98</v>
      </c>
      <c r="B99" t="s">
        <v>196</v>
      </c>
      <c r="C99" t="s">
        <v>197</v>
      </c>
      <c r="D99" t="s">
        <v>294</v>
      </c>
      <c r="E99" t="s">
        <v>508</v>
      </c>
    </row>
    <row r="100" spans="1:5" x14ac:dyDescent="0.3">
      <c r="A100">
        <v>99</v>
      </c>
      <c r="B100" t="s">
        <v>198</v>
      </c>
      <c r="C100" t="s">
        <v>199</v>
      </c>
      <c r="D100" t="s">
        <v>294</v>
      </c>
      <c r="E100" t="s">
        <v>508</v>
      </c>
    </row>
    <row r="101" spans="1:5" x14ac:dyDescent="0.3">
      <c r="A101">
        <v>100</v>
      </c>
      <c r="B101" t="s">
        <v>200</v>
      </c>
      <c r="C101" t="s">
        <v>201</v>
      </c>
      <c r="D101" t="s">
        <v>294</v>
      </c>
      <c r="E101" t="s">
        <v>508</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B94350-686C-4543-8395-896656767097}">
  <dimension ref="A1:F101"/>
  <sheetViews>
    <sheetView workbookViewId="0">
      <selection sqref="A1:D101"/>
    </sheetView>
  </sheetViews>
  <sheetFormatPr defaultRowHeight="14.4" x14ac:dyDescent="0.3"/>
  <cols>
    <col min="1" max="1" width="12.44140625" bestFit="1" customWidth="1"/>
    <col min="2" max="2" width="7.88671875" bestFit="1" customWidth="1"/>
    <col min="3" max="3" width="7.44140625" bestFit="1" customWidth="1"/>
    <col min="4" max="4" width="8.21875" bestFit="1" customWidth="1"/>
    <col min="5" max="5" width="13.33203125" bestFit="1" customWidth="1"/>
    <col min="6" max="6" width="18.77734375" bestFit="1" customWidth="1"/>
  </cols>
  <sheetData>
    <row r="1" spans="1:6" x14ac:dyDescent="0.3">
      <c r="A1" t="s">
        <v>0</v>
      </c>
      <c r="B1" t="s">
        <v>288</v>
      </c>
      <c r="C1" t="s">
        <v>289</v>
      </c>
      <c r="D1" t="s">
        <v>290</v>
      </c>
      <c r="E1" t="s">
        <v>306</v>
      </c>
      <c r="F1" t="s">
        <v>307</v>
      </c>
    </row>
    <row r="2" spans="1:6" x14ac:dyDescent="0.3">
      <c r="A2" t="s">
        <v>2</v>
      </c>
      <c r="B2">
        <v>83.29</v>
      </c>
      <c r="C2">
        <v>1</v>
      </c>
      <c r="D2" t="s">
        <v>291</v>
      </c>
      <c r="E2" t="s">
        <v>308</v>
      </c>
      <c r="F2" t="s">
        <v>309</v>
      </c>
    </row>
    <row r="3" spans="1:6" x14ac:dyDescent="0.3">
      <c r="A3" t="s">
        <v>4</v>
      </c>
      <c r="B3">
        <v>69.8</v>
      </c>
      <c r="C3">
        <v>2</v>
      </c>
      <c r="D3" t="s">
        <v>292</v>
      </c>
      <c r="E3" t="s">
        <v>310</v>
      </c>
      <c r="F3" t="s">
        <v>311</v>
      </c>
    </row>
    <row r="4" spans="1:6" x14ac:dyDescent="0.3">
      <c r="A4" t="s">
        <v>6</v>
      </c>
      <c r="B4">
        <v>68.11</v>
      </c>
      <c r="C4">
        <v>3</v>
      </c>
      <c r="D4" t="s">
        <v>292</v>
      </c>
      <c r="E4" t="s">
        <v>312</v>
      </c>
      <c r="F4" t="s">
        <v>313</v>
      </c>
    </row>
    <row r="5" spans="1:6" x14ac:dyDescent="0.3">
      <c r="A5" t="s">
        <v>8</v>
      </c>
      <c r="B5">
        <v>67.180000000000007</v>
      </c>
      <c r="C5">
        <v>4</v>
      </c>
      <c r="D5" t="s">
        <v>292</v>
      </c>
      <c r="E5" t="s">
        <v>314</v>
      </c>
      <c r="F5" t="s">
        <v>315</v>
      </c>
    </row>
    <row r="6" spans="1:6" x14ac:dyDescent="0.3">
      <c r="A6" t="s">
        <v>10</v>
      </c>
      <c r="B6">
        <v>66.05</v>
      </c>
      <c r="C6">
        <v>5</v>
      </c>
      <c r="D6" t="s">
        <v>292</v>
      </c>
      <c r="E6" t="s">
        <v>316</v>
      </c>
      <c r="F6" t="s">
        <v>317</v>
      </c>
    </row>
    <row r="7" spans="1:6" x14ac:dyDescent="0.3">
      <c r="A7" t="s">
        <v>12</v>
      </c>
      <c r="B7">
        <v>65.900000000000006</v>
      </c>
      <c r="C7">
        <v>6</v>
      </c>
      <c r="D7" t="s">
        <v>292</v>
      </c>
      <c r="E7" t="s">
        <v>318</v>
      </c>
      <c r="F7" t="s">
        <v>319</v>
      </c>
    </row>
    <row r="8" spans="1:6" x14ac:dyDescent="0.3">
      <c r="A8" t="s">
        <v>14</v>
      </c>
      <c r="B8">
        <v>65.73</v>
      </c>
      <c r="C8">
        <v>7</v>
      </c>
      <c r="D8" t="s">
        <v>292</v>
      </c>
      <c r="E8" t="s">
        <v>320</v>
      </c>
      <c r="F8" t="s">
        <v>321</v>
      </c>
    </row>
    <row r="9" spans="1:6" x14ac:dyDescent="0.3">
      <c r="A9" t="s">
        <v>16</v>
      </c>
      <c r="B9">
        <v>65.569999999999993</v>
      </c>
      <c r="C9">
        <v>8</v>
      </c>
      <c r="D9" t="s">
        <v>292</v>
      </c>
      <c r="E9" t="s">
        <v>322</v>
      </c>
      <c r="F9" t="s">
        <v>323</v>
      </c>
    </row>
    <row r="10" spans="1:6" x14ac:dyDescent="0.3">
      <c r="A10" t="s">
        <v>18</v>
      </c>
      <c r="B10">
        <v>65.39</v>
      </c>
      <c r="C10">
        <v>9</v>
      </c>
      <c r="D10" t="s">
        <v>292</v>
      </c>
      <c r="E10" t="s">
        <v>324</v>
      </c>
      <c r="F10" t="s">
        <v>325</v>
      </c>
    </row>
    <row r="11" spans="1:6" x14ac:dyDescent="0.3">
      <c r="A11" t="s">
        <v>20</v>
      </c>
      <c r="B11">
        <v>64.790000000000006</v>
      </c>
      <c r="C11">
        <v>10</v>
      </c>
      <c r="D11" t="s">
        <v>292</v>
      </c>
      <c r="E11" t="s">
        <v>326</v>
      </c>
      <c r="F11" t="s">
        <v>327</v>
      </c>
    </row>
    <row r="12" spans="1:6" x14ac:dyDescent="0.3">
      <c r="A12" t="s">
        <v>22</v>
      </c>
      <c r="B12">
        <v>64.62</v>
      </c>
      <c r="C12">
        <v>11</v>
      </c>
      <c r="D12" t="s">
        <v>292</v>
      </c>
      <c r="E12" t="s">
        <v>328</v>
      </c>
      <c r="F12" t="s">
        <v>329</v>
      </c>
    </row>
    <row r="13" spans="1:6" x14ac:dyDescent="0.3">
      <c r="A13" t="s">
        <v>24</v>
      </c>
      <c r="B13">
        <v>64.56</v>
      </c>
      <c r="C13">
        <v>12</v>
      </c>
      <c r="D13" t="s">
        <v>292</v>
      </c>
      <c r="E13" t="s">
        <v>330</v>
      </c>
      <c r="F13" t="s">
        <v>331</v>
      </c>
    </row>
    <row r="14" spans="1:6" x14ac:dyDescent="0.3">
      <c r="A14" t="s">
        <v>26</v>
      </c>
      <c r="B14">
        <v>63.85</v>
      </c>
      <c r="C14">
        <v>13</v>
      </c>
      <c r="D14" t="s">
        <v>292</v>
      </c>
      <c r="E14" t="s">
        <v>332</v>
      </c>
      <c r="F14" t="s">
        <v>333</v>
      </c>
    </row>
    <row r="15" spans="1:6" x14ac:dyDescent="0.3">
      <c r="A15" t="s">
        <v>28</v>
      </c>
      <c r="B15">
        <v>62.61</v>
      </c>
      <c r="C15">
        <v>14</v>
      </c>
      <c r="D15" t="s">
        <v>292</v>
      </c>
      <c r="E15" t="s">
        <v>334</v>
      </c>
      <c r="F15" t="s">
        <v>335</v>
      </c>
    </row>
    <row r="16" spans="1:6" x14ac:dyDescent="0.3">
      <c r="A16" t="s">
        <v>30</v>
      </c>
      <c r="B16">
        <v>62.53</v>
      </c>
      <c r="C16">
        <v>15</v>
      </c>
      <c r="D16" t="s">
        <v>292</v>
      </c>
      <c r="E16" t="s">
        <v>336</v>
      </c>
      <c r="F16" t="s">
        <v>337</v>
      </c>
    </row>
    <row r="17" spans="1:6" x14ac:dyDescent="0.3">
      <c r="A17" t="s">
        <v>32</v>
      </c>
      <c r="B17">
        <v>62.31</v>
      </c>
      <c r="C17">
        <v>16</v>
      </c>
      <c r="D17" t="s">
        <v>292</v>
      </c>
      <c r="E17" t="s">
        <v>338</v>
      </c>
      <c r="F17" t="s">
        <v>339</v>
      </c>
    </row>
    <row r="18" spans="1:6" x14ac:dyDescent="0.3">
      <c r="A18" t="s">
        <v>34</v>
      </c>
      <c r="B18">
        <v>62.18</v>
      </c>
      <c r="C18">
        <v>17</v>
      </c>
      <c r="D18" t="s">
        <v>292</v>
      </c>
      <c r="E18" t="s">
        <v>340</v>
      </c>
      <c r="F18" t="s">
        <v>341</v>
      </c>
    </row>
    <row r="19" spans="1:6" x14ac:dyDescent="0.3">
      <c r="A19" t="s">
        <v>36</v>
      </c>
      <c r="B19">
        <v>61.1</v>
      </c>
      <c r="C19">
        <v>18</v>
      </c>
      <c r="D19" t="s">
        <v>292</v>
      </c>
      <c r="E19" t="s">
        <v>342</v>
      </c>
      <c r="F19" t="s">
        <v>343</v>
      </c>
    </row>
    <row r="20" spans="1:6" x14ac:dyDescent="0.3">
      <c r="A20" t="s">
        <v>38</v>
      </c>
      <c r="B20">
        <v>60.03</v>
      </c>
      <c r="C20">
        <v>19</v>
      </c>
      <c r="D20" t="s">
        <v>292</v>
      </c>
      <c r="E20" t="s">
        <v>344</v>
      </c>
      <c r="F20" t="s">
        <v>345</v>
      </c>
    </row>
    <row r="21" spans="1:6" x14ac:dyDescent="0.3">
      <c r="A21" t="s">
        <v>40</v>
      </c>
      <c r="B21">
        <v>59.96</v>
      </c>
      <c r="C21">
        <v>20</v>
      </c>
      <c r="D21" t="s">
        <v>293</v>
      </c>
      <c r="E21" t="s">
        <v>346</v>
      </c>
      <c r="F21" t="s">
        <v>347</v>
      </c>
    </row>
    <row r="22" spans="1:6" x14ac:dyDescent="0.3">
      <c r="A22" t="s">
        <v>42</v>
      </c>
      <c r="B22">
        <v>58.48</v>
      </c>
      <c r="C22">
        <v>21</v>
      </c>
      <c r="D22" t="s">
        <v>293</v>
      </c>
      <c r="E22" t="s">
        <v>348</v>
      </c>
      <c r="F22" t="s">
        <v>349</v>
      </c>
    </row>
    <row r="23" spans="1:6" x14ac:dyDescent="0.3">
      <c r="A23" t="s">
        <v>44</v>
      </c>
      <c r="B23">
        <v>57.98</v>
      </c>
      <c r="C23">
        <v>22</v>
      </c>
      <c r="D23" t="s">
        <v>293</v>
      </c>
      <c r="E23" t="s">
        <v>350</v>
      </c>
      <c r="F23" t="s">
        <v>351</v>
      </c>
    </row>
    <row r="24" spans="1:6" x14ac:dyDescent="0.3">
      <c r="A24" t="s">
        <v>46</v>
      </c>
      <c r="B24">
        <v>57.96</v>
      </c>
      <c r="C24">
        <v>23</v>
      </c>
      <c r="D24" t="s">
        <v>293</v>
      </c>
      <c r="E24" t="s">
        <v>352</v>
      </c>
      <c r="F24" t="s">
        <v>353</v>
      </c>
    </row>
    <row r="25" spans="1:6" x14ac:dyDescent="0.3">
      <c r="A25" t="s">
        <v>48</v>
      </c>
      <c r="B25">
        <v>57.74</v>
      </c>
      <c r="C25">
        <v>24</v>
      </c>
      <c r="D25" t="s">
        <v>293</v>
      </c>
      <c r="E25" t="s">
        <v>354</v>
      </c>
      <c r="F25" t="s">
        <v>355</v>
      </c>
    </row>
    <row r="26" spans="1:6" x14ac:dyDescent="0.3">
      <c r="A26" t="s">
        <v>50</v>
      </c>
      <c r="B26">
        <v>57.67</v>
      </c>
      <c r="C26">
        <v>25</v>
      </c>
      <c r="D26" t="s">
        <v>293</v>
      </c>
      <c r="E26" t="s">
        <v>356</v>
      </c>
      <c r="F26" t="s">
        <v>357</v>
      </c>
    </row>
    <row r="27" spans="1:6" x14ac:dyDescent="0.3">
      <c r="A27" t="s">
        <v>52</v>
      </c>
      <c r="B27">
        <v>57.26</v>
      </c>
      <c r="C27">
        <v>26</v>
      </c>
      <c r="D27" t="s">
        <v>293</v>
      </c>
      <c r="E27" t="s">
        <v>358</v>
      </c>
      <c r="F27" t="s">
        <v>359</v>
      </c>
    </row>
    <row r="28" spans="1:6" x14ac:dyDescent="0.3">
      <c r="A28" t="s">
        <v>54</v>
      </c>
      <c r="B28">
        <v>56.92</v>
      </c>
      <c r="C28">
        <v>27</v>
      </c>
      <c r="D28" t="s">
        <v>293</v>
      </c>
      <c r="E28" t="s">
        <v>360</v>
      </c>
      <c r="F28" t="s">
        <v>361</v>
      </c>
    </row>
    <row r="29" spans="1:6" x14ac:dyDescent="0.3">
      <c r="A29" t="s">
        <v>56</v>
      </c>
      <c r="B29">
        <v>56.81</v>
      </c>
      <c r="C29">
        <v>28</v>
      </c>
      <c r="D29" t="s">
        <v>293</v>
      </c>
      <c r="E29" t="s">
        <v>362</v>
      </c>
      <c r="F29" t="s">
        <v>363</v>
      </c>
    </row>
    <row r="30" spans="1:6" x14ac:dyDescent="0.3">
      <c r="A30" t="s">
        <v>58</v>
      </c>
      <c r="B30">
        <v>56.72</v>
      </c>
      <c r="C30">
        <v>29</v>
      </c>
      <c r="D30" t="s">
        <v>293</v>
      </c>
      <c r="E30" t="s">
        <v>364</v>
      </c>
      <c r="F30" t="s">
        <v>365</v>
      </c>
    </row>
    <row r="31" spans="1:6" x14ac:dyDescent="0.3">
      <c r="A31" t="s">
        <v>60</v>
      </c>
      <c r="B31">
        <v>56.71</v>
      </c>
      <c r="C31">
        <v>30</v>
      </c>
      <c r="D31" t="s">
        <v>293</v>
      </c>
      <c r="E31" t="s">
        <v>366</v>
      </c>
      <c r="F31" t="s">
        <v>367</v>
      </c>
    </row>
    <row r="32" spans="1:6" x14ac:dyDescent="0.3">
      <c r="A32" t="s">
        <v>62</v>
      </c>
      <c r="B32">
        <v>56.41</v>
      </c>
      <c r="C32">
        <v>31</v>
      </c>
      <c r="D32" t="s">
        <v>293</v>
      </c>
      <c r="E32" t="s">
        <v>368</v>
      </c>
      <c r="F32" t="s">
        <v>369</v>
      </c>
    </row>
    <row r="33" spans="1:6" x14ac:dyDescent="0.3">
      <c r="A33" t="s">
        <v>64</v>
      </c>
      <c r="B33">
        <v>56.14</v>
      </c>
      <c r="C33">
        <v>32</v>
      </c>
      <c r="D33" t="s">
        <v>293</v>
      </c>
      <c r="E33" t="s">
        <v>370</v>
      </c>
      <c r="F33" t="s">
        <v>371</v>
      </c>
    </row>
    <row r="34" spans="1:6" x14ac:dyDescent="0.3">
      <c r="A34" t="s">
        <v>66</v>
      </c>
      <c r="B34">
        <v>56.03</v>
      </c>
      <c r="C34">
        <v>33</v>
      </c>
      <c r="D34" t="s">
        <v>293</v>
      </c>
      <c r="E34" t="s">
        <v>372</v>
      </c>
      <c r="F34" t="s">
        <v>373</v>
      </c>
    </row>
    <row r="35" spans="1:6" x14ac:dyDescent="0.3">
      <c r="A35" t="s">
        <v>68</v>
      </c>
      <c r="B35">
        <v>55.95</v>
      </c>
      <c r="C35">
        <v>34</v>
      </c>
      <c r="D35" t="s">
        <v>293</v>
      </c>
      <c r="E35" t="s">
        <v>374</v>
      </c>
      <c r="F35" t="s">
        <v>375</v>
      </c>
    </row>
    <row r="36" spans="1:6" x14ac:dyDescent="0.3">
      <c r="A36" t="s">
        <v>70</v>
      </c>
      <c r="B36">
        <v>55.67</v>
      </c>
      <c r="C36">
        <v>35</v>
      </c>
      <c r="D36" t="s">
        <v>293</v>
      </c>
      <c r="E36" t="s">
        <v>376</v>
      </c>
      <c r="F36" t="s">
        <v>377</v>
      </c>
    </row>
    <row r="37" spans="1:6" x14ac:dyDescent="0.3">
      <c r="A37" t="s">
        <v>72</v>
      </c>
      <c r="B37">
        <v>55.6</v>
      </c>
      <c r="C37">
        <v>36</v>
      </c>
      <c r="D37" t="s">
        <v>293</v>
      </c>
      <c r="E37" t="s">
        <v>378</v>
      </c>
      <c r="F37" t="s">
        <v>379</v>
      </c>
    </row>
    <row r="38" spans="1:6" x14ac:dyDescent="0.3">
      <c r="A38" t="s">
        <v>74</v>
      </c>
      <c r="B38">
        <v>55.18</v>
      </c>
      <c r="C38">
        <v>37</v>
      </c>
      <c r="D38" t="s">
        <v>293</v>
      </c>
      <c r="E38" t="s">
        <v>380</v>
      </c>
      <c r="F38" t="s">
        <v>381</v>
      </c>
    </row>
    <row r="39" spans="1:6" x14ac:dyDescent="0.3">
      <c r="A39" t="s">
        <v>76</v>
      </c>
      <c r="B39">
        <v>55.11</v>
      </c>
      <c r="C39">
        <v>38</v>
      </c>
      <c r="D39" t="s">
        <v>293</v>
      </c>
      <c r="E39" t="s">
        <v>382</v>
      </c>
      <c r="F39" t="s">
        <v>383</v>
      </c>
    </row>
    <row r="40" spans="1:6" x14ac:dyDescent="0.3">
      <c r="A40" t="s">
        <v>78</v>
      </c>
      <c r="B40">
        <v>55.03</v>
      </c>
      <c r="C40">
        <v>39</v>
      </c>
      <c r="D40" t="s">
        <v>293</v>
      </c>
      <c r="E40" t="s">
        <v>384</v>
      </c>
      <c r="F40" t="s">
        <v>385</v>
      </c>
    </row>
    <row r="41" spans="1:6" x14ac:dyDescent="0.3">
      <c r="A41" t="s">
        <v>80</v>
      </c>
      <c r="B41">
        <v>54.86</v>
      </c>
      <c r="C41">
        <v>40</v>
      </c>
      <c r="D41" t="s">
        <v>293</v>
      </c>
      <c r="E41" t="s">
        <v>386</v>
      </c>
      <c r="F41" t="s">
        <v>387</v>
      </c>
    </row>
    <row r="42" spans="1:6" x14ac:dyDescent="0.3">
      <c r="A42" t="s">
        <v>82</v>
      </c>
      <c r="B42">
        <v>54.86</v>
      </c>
      <c r="C42">
        <v>40</v>
      </c>
      <c r="D42" t="s">
        <v>293</v>
      </c>
      <c r="E42" t="s">
        <v>386</v>
      </c>
      <c r="F42" t="s">
        <v>387</v>
      </c>
    </row>
    <row r="43" spans="1:6" x14ac:dyDescent="0.3">
      <c r="A43" t="s">
        <v>84</v>
      </c>
      <c r="B43">
        <v>54.71</v>
      </c>
      <c r="C43">
        <v>42</v>
      </c>
      <c r="D43" t="s">
        <v>293</v>
      </c>
      <c r="E43" t="s">
        <v>388</v>
      </c>
      <c r="F43" t="s">
        <v>389</v>
      </c>
    </row>
    <row r="44" spans="1:6" x14ac:dyDescent="0.3">
      <c r="A44" t="s">
        <v>86</v>
      </c>
      <c r="B44">
        <v>54.69</v>
      </c>
      <c r="C44">
        <v>43</v>
      </c>
      <c r="D44" t="s">
        <v>293</v>
      </c>
      <c r="E44" t="s">
        <v>390</v>
      </c>
      <c r="F44" t="s">
        <v>391</v>
      </c>
    </row>
    <row r="45" spans="1:6" x14ac:dyDescent="0.3">
      <c r="A45" t="s">
        <v>88</v>
      </c>
      <c r="B45">
        <v>54.59</v>
      </c>
      <c r="C45">
        <v>44</v>
      </c>
      <c r="D45" t="s">
        <v>293</v>
      </c>
      <c r="E45" t="s">
        <v>392</v>
      </c>
      <c r="F45" t="s">
        <v>393</v>
      </c>
    </row>
    <row r="46" spans="1:6" x14ac:dyDescent="0.3">
      <c r="A46" t="s">
        <v>90</v>
      </c>
      <c r="B46">
        <v>54.43</v>
      </c>
      <c r="C46">
        <v>45</v>
      </c>
      <c r="D46" t="s">
        <v>293</v>
      </c>
      <c r="E46" t="s">
        <v>394</v>
      </c>
      <c r="F46" t="s">
        <v>395</v>
      </c>
    </row>
    <row r="47" spans="1:6" x14ac:dyDescent="0.3">
      <c r="A47" t="s">
        <v>92</v>
      </c>
      <c r="B47">
        <v>54.02</v>
      </c>
      <c r="C47">
        <v>46</v>
      </c>
      <c r="D47" t="s">
        <v>293</v>
      </c>
      <c r="E47" t="s">
        <v>396</v>
      </c>
      <c r="F47" t="s">
        <v>397</v>
      </c>
    </row>
    <row r="48" spans="1:6" x14ac:dyDescent="0.3">
      <c r="A48" t="s">
        <v>94</v>
      </c>
      <c r="B48">
        <v>53.84</v>
      </c>
      <c r="C48">
        <v>47</v>
      </c>
      <c r="D48" t="s">
        <v>293</v>
      </c>
      <c r="E48" t="s">
        <v>398</v>
      </c>
      <c r="F48" t="s">
        <v>399</v>
      </c>
    </row>
    <row r="49" spans="1:6" x14ac:dyDescent="0.3">
      <c r="A49" t="s">
        <v>96</v>
      </c>
      <c r="B49">
        <v>53.31</v>
      </c>
      <c r="C49">
        <v>48</v>
      </c>
      <c r="D49" t="s">
        <v>293</v>
      </c>
      <c r="E49" t="s">
        <v>400</v>
      </c>
      <c r="F49" t="s">
        <v>401</v>
      </c>
    </row>
    <row r="50" spans="1:6" x14ac:dyDescent="0.3">
      <c r="A50" t="s">
        <v>98</v>
      </c>
      <c r="B50">
        <v>52.43</v>
      </c>
      <c r="C50">
        <v>49</v>
      </c>
      <c r="D50" t="s">
        <v>293</v>
      </c>
      <c r="E50" t="s">
        <v>402</v>
      </c>
      <c r="F50" t="s">
        <v>403</v>
      </c>
    </row>
    <row r="51" spans="1:6" x14ac:dyDescent="0.3">
      <c r="A51" t="s">
        <v>100</v>
      </c>
      <c r="B51">
        <v>52.33</v>
      </c>
      <c r="C51">
        <v>50</v>
      </c>
      <c r="D51" t="s">
        <v>293</v>
      </c>
      <c r="E51" t="s">
        <v>404</v>
      </c>
      <c r="F51" t="s">
        <v>405</v>
      </c>
    </row>
    <row r="52" spans="1:6" x14ac:dyDescent="0.3">
      <c r="A52" t="s">
        <v>102</v>
      </c>
      <c r="B52">
        <v>52.16</v>
      </c>
      <c r="C52">
        <v>51</v>
      </c>
      <c r="D52" t="s">
        <v>293</v>
      </c>
      <c r="E52" t="s">
        <v>406</v>
      </c>
      <c r="F52" t="s">
        <v>407</v>
      </c>
    </row>
    <row r="53" spans="1:6" x14ac:dyDescent="0.3">
      <c r="A53" t="s">
        <v>104</v>
      </c>
      <c r="B53">
        <v>52.01</v>
      </c>
      <c r="C53">
        <v>52</v>
      </c>
      <c r="D53" t="s">
        <v>293</v>
      </c>
      <c r="E53" t="s">
        <v>408</v>
      </c>
      <c r="F53" t="s">
        <v>409</v>
      </c>
    </row>
    <row r="54" spans="1:6" x14ac:dyDescent="0.3">
      <c r="A54" t="s">
        <v>106</v>
      </c>
      <c r="B54">
        <v>51.1</v>
      </c>
      <c r="C54">
        <v>53</v>
      </c>
      <c r="D54" t="s">
        <v>293</v>
      </c>
      <c r="E54" t="s">
        <v>410</v>
      </c>
      <c r="F54" t="s">
        <v>411</v>
      </c>
    </row>
    <row r="55" spans="1:6" x14ac:dyDescent="0.3">
      <c r="A55" t="s">
        <v>108</v>
      </c>
      <c r="B55">
        <v>51.04</v>
      </c>
      <c r="C55">
        <v>54</v>
      </c>
      <c r="D55" t="s">
        <v>293</v>
      </c>
      <c r="E55" t="s">
        <v>412</v>
      </c>
      <c r="F55" t="s">
        <v>413</v>
      </c>
    </row>
    <row r="56" spans="1:6" x14ac:dyDescent="0.3">
      <c r="A56" t="s">
        <v>110</v>
      </c>
      <c r="B56">
        <v>50.86</v>
      </c>
      <c r="C56">
        <v>55</v>
      </c>
      <c r="D56" t="s">
        <v>293</v>
      </c>
      <c r="E56" t="s">
        <v>414</v>
      </c>
      <c r="F56" t="s">
        <v>415</v>
      </c>
    </row>
    <row r="57" spans="1:6" x14ac:dyDescent="0.3">
      <c r="A57" t="s">
        <v>112</v>
      </c>
      <c r="B57">
        <v>50.36</v>
      </c>
      <c r="C57">
        <v>56</v>
      </c>
      <c r="D57" t="s">
        <v>293</v>
      </c>
      <c r="E57" t="s">
        <v>416</v>
      </c>
      <c r="F57" t="s">
        <v>417</v>
      </c>
    </row>
    <row r="58" spans="1:6" x14ac:dyDescent="0.3">
      <c r="A58" t="s">
        <v>114</v>
      </c>
      <c r="B58">
        <v>50.32</v>
      </c>
      <c r="C58">
        <v>57</v>
      </c>
      <c r="D58" t="s">
        <v>293</v>
      </c>
      <c r="E58" t="s">
        <v>418</v>
      </c>
      <c r="F58" t="s">
        <v>419</v>
      </c>
    </row>
    <row r="59" spans="1:6" x14ac:dyDescent="0.3">
      <c r="A59" t="s">
        <v>116</v>
      </c>
      <c r="B59">
        <v>50.2</v>
      </c>
      <c r="C59">
        <v>58</v>
      </c>
      <c r="D59" t="s">
        <v>293</v>
      </c>
      <c r="E59" t="s">
        <v>420</v>
      </c>
      <c r="F59" t="s">
        <v>421</v>
      </c>
    </row>
    <row r="60" spans="1:6" x14ac:dyDescent="0.3">
      <c r="A60" t="s">
        <v>118</v>
      </c>
      <c r="B60">
        <v>50.06</v>
      </c>
      <c r="C60">
        <v>59</v>
      </c>
      <c r="D60" t="s">
        <v>293</v>
      </c>
      <c r="E60" t="s">
        <v>422</v>
      </c>
      <c r="F60" t="s">
        <v>423</v>
      </c>
    </row>
    <row r="61" spans="1:6" x14ac:dyDescent="0.3">
      <c r="A61" t="s">
        <v>120</v>
      </c>
      <c r="B61">
        <v>49.87</v>
      </c>
      <c r="C61">
        <v>60</v>
      </c>
      <c r="D61" t="s">
        <v>294</v>
      </c>
      <c r="E61" t="s">
        <v>424</v>
      </c>
      <c r="F61" t="s">
        <v>425</v>
      </c>
    </row>
    <row r="62" spans="1:6" x14ac:dyDescent="0.3">
      <c r="A62" t="s">
        <v>122</v>
      </c>
      <c r="B62">
        <v>49.86</v>
      </c>
      <c r="C62">
        <v>61</v>
      </c>
      <c r="D62" t="s">
        <v>294</v>
      </c>
      <c r="E62" t="s">
        <v>426</v>
      </c>
      <c r="F62" t="s">
        <v>427</v>
      </c>
    </row>
    <row r="63" spans="1:6" x14ac:dyDescent="0.3">
      <c r="A63" t="s">
        <v>124</v>
      </c>
      <c r="B63">
        <v>49.8</v>
      </c>
      <c r="C63">
        <v>62</v>
      </c>
      <c r="D63" t="s">
        <v>294</v>
      </c>
      <c r="E63" t="s">
        <v>428</v>
      </c>
      <c r="F63" t="s">
        <v>429</v>
      </c>
    </row>
    <row r="64" spans="1:6" x14ac:dyDescent="0.3">
      <c r="A64" t="s">
        <v>126</v>
      </c>
      <c r="B64">
        <v>49.72</v>
      </c>
      <c r="C64">
        <v>63</v>
      </c>
      <c r="D64" t="s">
        <v>294</v>
      </c>
      <c r="E64" t="s">
        <v>430</v>
      </c>
      <c r="F64" t="s">
        <v>431</v>
      </c>
    </row>
    <row r="65" spans="1:6" x14ac:dyDescent="0.3">
      <c r="A65" t="s">
        <v>128</v>
      </c>
      <c r="B65">
        <v>49.5</v>
      </c>
      <c r="C65">
        <v>64</v>
      </c>
      <c r="D65" t="s">
        <v>294</v>
      </c>
      <c r="E65" t="s">
        <v>432</v>
      </c>
      <c r="F65" t="s">
        <v>433</v>
      </c>
    </row>
    <row r="66" spans="1:6" x14ac:dyDescent="0.3">
      <c r="A66" t="s">
        <v>130</v>
      </c>
      <c r="B66">
        <v>49.47</v>
      </c>
      <c r="C66">
        <v>65</v>
      </c>
      <c r="D66" t="s">
        <v>294</v>
      </c>
      <c r="E66" t="s">
        <v>434</v>
      </c>
      <c r="F66" t="s">
        <v>435</v>
      </c>
    </row>
    <row r="67" spans="1:6" x14ac:dyDescent="0.3">
      <c r="A67" t="s">
        <v>132</v>
      </c>
      <c r="B67">
        <v>49.45</v>
      </c>
      <c r="C67">
        <v>66</v>
      </c>
      <c r="D67" t="s">
        <v>294</v>
      </c>
      <c r="E67" t="s">
        <v>436</v>
      </c>
      <c r="F67" t="s">
        <v>437</v>
      </c>
    </row>
    <row r="68" spans="1:6" x14ac:dyDescent="0.3">
      <c r="A68" t="s">
        <v>134</v>
      </c>
      <c r="B68">
        <v>49.38</v>
      </c>
      <c r="C68">
        <v>67</v>
      </c>
      <c r="D68" t="s">
        <v>294</v>
      </c>
      <c r="E68" t="s">
        <v>438</v>
      </c>
      <c r="F68" t="s">
        <v>439</v>
      </c>
    </row>
    <row r="69" spans="1:6" x14ac:dyDescent="0.3">
      <c r="A69" t="s">
        <v>136</v>
      </c>
      <c r="B69">
        <v>49.14</v>
      </c>
      <c r="C69">
        <v>68</v>
      </c>
      <c r="D69" t="s">
        <v>294</v>
      </c>
      <c r="E69" t="s">
        <v>440</v>
      </c>
      <c r="F69" t="s">
        <v>441</v>
      </c>
    </row>
    <row r="70" spans="1:6" x14ac:dyDescent="0.3">
      <c r="A70" t="s">
        <v>138</v>
      </c>
      <c r="B70">
        <v>49.01</v>
      </c>
      <c r="C70">
        <v>69</v>
      </c>
      <c r="D70" t="s">
        <v>294</v>
      </c>
      <c r="E70" t="s">
        <v>442</v>
      </c>
      <c r="F70" t="s">
        <v>443</v>
      </c>
    </row>
    <row r="71" spans="1:6" x14ac:dyDescent="0.3">
      <c r="A71" t="s">
        <v>140</v>
      </c>
      <c r="B71">
        <v>48.82</v>
      </c>
      <c r="C71">
        <v>70</v>
      </c>
      <c r="D71" t="s">
        <v>294</v>
      </c>
      <c r="E71" t="s">
        <v>444</v>
      </c>
      <c r="F71" t="s">
        <v>445</v>
      </c>
    </row>
    <row r="72" spans="1:6" x14ac:dyDescent="0.3">
      <c r="A72" t="s">
        <v>142</v>
      </c>
      <c r="B72">
        <v>48.67</v>
      </c>
      <c r="C72">
        <v>71</v>
      </c>
      <c r="D72" t="s">
        <v>294</v>
      </c>
      <c r="E72" t="s">
        <v>446</v>
      </c>
      <c r="F72" t="s">
        <v>447</v>
      </c>
    </row>
    <row r="73" spans="1:6" x14ac:dyDescent="0.3">
      <c r="A73" t="s">
        <v>144</v>
      </c>
      <c r="B73">
        <v>48.45</v>
      </c>
      <c r="C73">
        <v>72</v>
      </c>
      <c r="D73" t="s">
        <v>294</v>
      </c>
      <c r="E73" t="s">
        <v>448</v>
      </c>
      <c r="F73" t="s">
        <v>449</v>
      </c>
    </row>
    <row r="74" spans="1:6" x14ac:dyDescent="0.3">
      <c r="A74" t="s">
        <v>146</v>
      </c>
      <c r="B74">
        <v>48.36</v>
      </c>
      <c r="C74">
        <v>73</v>
      </c>
      <c r="D74" t="s">
        <v>294</v>
      </c>
      <c r="E74" t="s">
        <v>450</v>
      </c>
      <c r="F74" t="s">
        <v>451</v>
      </c>
    </row>
    <row r="75" spans="1:6" x14ac:dyDescent="0.3">
      <c r="A75" t="s">
        <v>148</v>
      </c>
      <c r="B75">
        <v>48.32</v>
      </c>
      <c r="C75">
        <v>74</v>
      </c>
      <c r="D75" t="s">
        <v>294</v>
      </c>
      <c r="E75" t="s">
        <v>452</v>
      </c>
      <c r="F75" t="s">
        <v>453</v>
      </c>
    </row>
    <row r="76" spans="1:6" x14ac:dyDescent="0.3">
      <c r="A76" t="s">
        <v>150</v>
      </c>
      <c r="B76">
        <v>48.1</v>
      </c>
      <c r="C76">
        <v>75</v>
      </c>
      <c r="D76" t="s">
        <v>294</v>
      </c>
      <c r="E76" t="s">
        <v>454</v>
      </c>
      <c r="F76" t="s">
        <v>455</v>
      </c>
    </row>
    <row r="77" spans="1:6" x14ac:dyDescent="0.3">
      <c r="A77" t="s">
        <v>152</v>
      </c>
      <c r="B77">
        <v>48.04</v>
      </c>
      <c r="C77">
        <v>76</v>
      </c>
      <c r="D77" t="s">
        <v>294</v>
      </c>
      <c r="E77" t="s">
        <v>456</v>
      </c>
      <c r="F77" t="s">
        <v>457</v>
      </c>
    </row>
    <row r="78" spans="1:6" x14ac:dyDescent="0.3">
      <c r="A78" t="s">
        <v>154</v>
      </c>
      <c r="B78">
        <v>48.03</v>
      </c>
      <c r="C78">
        <v>77</v>
      </c>
      <c r="D78" t="s">
        <v>294</v>
      </c>
      <c r="E78" t="s">
        <v>458</v>
      </c>
      <c r="F78" t="s">
        <v>459</v>
      </c>
    </row>
    <row r="79" spans="1:6" x14ac:dyDescent="0.3">
      <c r="A79" t="s">
        <v>156</v>
      </c>
      <c r="B79">
        <v>47.94</v>
      </c>
      <c r="C79">
        <v>78</v>
      </c>
      <c r="D79" t="s">
        <v>294</v>
      </c>
      <c r="E79" t="s">
        <v>460</v>
      </c>
      <c r="F79" t="s">
        <v>461</v>
      </c>
    </row>
    <row r="80" spans="1:6" x14ac:dyDescent="0.3">
      <c r="A80" t="s">
        <v>158</v>
      </c>
      <c r="B80">
        <v>47.8</v>
      </c>
      <c r="C80">
        <v>79</v>
      </c>
      <c r="D80" t="s">
        <v>294</v>
      </c>
      <c r="E80" t="s">
        <v>462</v>
      </c>
      <c r="F80" t="s">
        <v>463</v>
      </c>
    </row>
    <row r="81" spans="1:6" x14ac:dyDescent="0.3">
      <c r="A81" t="s">
        <v>160</v>
      </c>
      <c r="B81">
        <v>47.66</v>
      </c>
      <c r="C81">
        <v>80</v>
      </c>
      <c r="D81" t="s">
        <v>294</v>
      </c>
      <c r="E81" t="s">
        <v>464</v>
      </c>
      <c r="F81" t="s">
        <v>465</v>
      </c>
    </row>
    <row r="82" spans="1:6" x14ac:dyDescent="0.3">
      <c r="A82" t="s">
        <v>162</v>
      </c>
      <c r="B82">
        <v>47.45</v>
      </c>
      <c r="C82">
        <v>81</v>
      </c>
      <c r="D82" t="s">
        <v>294</v>
      </c>
      <c r="E82" t="s">
        <v>466</v>
      </c>
      <c r="F82" t="s">
        <v>467</v>
      </c>
    </row>
    <row r="83" spans="1:6" x14ac:dyDescent="0.3">
      <c r="A83" t="s">
        <v>164</v>
      </c>
      <c r="B83">
        <v>47.31</v>
      </c>
      <c r="C83">
        <v>82</v>
      </c>
      <c r="D83" t="s">
        <v>294</v>
      </c>
      <c r="E83" t="s">
        <v>468</v>
      </c>
      <c r="F83" t="s">
        <v>469</v>
      </c>
    </row>
    <row r="84" spans="1:6" x14ac:dyDescent="0.3">
      <c r="A84" t="s">
        <v>166</v>
      </c>
      <c r="B84">
        <v>47.11</v>
      </c>
      <c r="C84">
        <v>83</v>
      </c>
      <c r="D84" t="s">
        <v>294</v>
      </c>
      <c r="E84" t="s">
        <v>470</v>
      </c>
      <c r="F84" t="s">
        <v>471</v>
      </c>
    </row>
    <row r="85" spans="1:6" x14ac:dyDescent="0.3">
      <c r="A85" t="s">
        <v>168</v>
      </c>
      <c r="B85">
        <v>47.03</v>
      </c>
      <c r="C85">
        <v>84</v>
      </c>
      <c r="D85" t="s">
        <v>294</v>
      </c>
      <c r="E85" t="s">
        <v>472</v>
      </c>
      <c r="F85" t="s">
        <v>473</v>
      </c>
    </row>
    <row r="86" spans="1:6" x14ac:dyDescent="0.3">
      <c r="A86" t="s">
        <v>170</v>
      </c>
      <c r="B86">
        <v>46.9</v>
      </c>
      <c r="C86">
        <v>85</v>
      </c>
      <c r="D86" t="s">
        <v>294</v>
      </c>
      <c r="E86" t="s">
        <v>474</v>
      </c>
      <c r="F86" t="s">
        <v>475</v>
      </c>
    </row>
    <row r="87" spans="1:6" x14ac:dyDescent="0.3">
      <c r="A87" t="s">
        <v>172</v>
      </c>
      <c r="B87">
        <v>46.88</v>
      </c>
      <c r="C87">
        <v>86</v>
      </c>
      <c r="D87" t="s">
        <v>294</v>
      </c>
      <c r="E87" t="s">
        <v>476</v>
      </c>
      <c r="F87" t="s">
        <v>477</v>
      </c>
    </row>
    <row r="88" spans="1:6" x14ac:dyDescent="0.3">
      <c r="A88" t="s">
        <v>174</v>
      </c>
      <c r="B88">
        <v>46.65</v>
      </c>
      <c r="C88">
        <v>87</v>
      </c>
      <c r="D88" t="s">
        <v>294</v>
      </c>
      <c r="E88" t="s">
        <v>478</v>
      </c>
      <c r="F88" t="s">
        <v>479</v>
      </c>
    </row>
    <row r="89" spans="1:6" x14ac:dyDescent="0.3">
      <c r="A89" t="s">
        <v>176</v>
      </c>
      <c r="B89">
        <v>46.64</v>
      </c>
      <c r="C89">
        <v>88</v>
      </c>
      <c r="D89" t="s">
        <v>294</v>
      </c>
      <c r="E89" t="s">
        <v>480</v>
      </c>
      <c r="F89" t="s">
        <v>481</v>
      </c>
    </row>
    <row r="90" spans="1:6" x14ac:dyDescent="0.3">
      <c r="A90" t="s">
        <v>178</v>
      </c>
      <c r="B90">
        <v>46.63</v>
      </c>
      <c r="C90">
        <v>89</v>
      </c>
      <c r="D90" t="s">
        <v>294</v>
      </c>
      <c r="E90" t="s">
        <v>482</v>
      </c>
      <c r="F90" t="s">
        <v>483</v>
      </c>
    </row>
    <row r="91" spans="1:6" x14ac:dyDescent="0.3">
      <c r="A91" t="s">
        <v>180</v>
      </c>
      <c r="B91">
        <v>46.47</v>
      </c>
      <c r="C91">
        <v>90</v>
      </c>
      <c r="D91" t="s">
        <v>294</v>
      </c>
      <c r="E91" t="s">
        <v>484</v>
      </c>
      <c r="F91" t="s">
        <v>485</v>
      </c>
    </row>
    <row r="92" spans="1:6" x14ac:dyDescent="0.3">
      <c r="A92" t="s">
        <v>182</v>
      </c>
      <c r="B92">
        <v>46.47</v>
      </c>
      <c r="C92">
        <v>90</v>
      </c>
      <c r="D92" t="s">
        <v>294</v>
      </c>
      <c r="E92" t="s">
        <v>484</v>
      </c>
      <c r="F92" t="s">
        <v>485</v>
      </c>
    </row>
    <row r="93" spans="1:6" x14ac:dyDescent="0.3">
      <c r="A93" t="s">
        <v>184</v>
      </c>
      <c r="B93">
        <v>46.46</v>
      </c>
      <c r="C93">
        <v>92</v>
      </c>
      <c r="D93" t="s">
        <v>294</v>
      </c>
      <c r="E93" t="s">
        <v>486</v>
      </c>
      <c r="F93" t="s">
        <v>487</v>
      </c>
    </row>
    <row r="94" spans="1:6" x14ac:dyDescent="0.3">
      <c r="A94" t="s">
        <v>186</v>
      </c>
      <c r="B94">
        <v>46.34</v>
      </c>
      <c r="C94">
        <v>93</v>
      </c>
      <c r="D94" t="s">
        <v>294</v>
      </c>
      <c r="E94" t="s">
        <v>488</v>
      </c>
      <c r="F94" t="s">
        <v>489</v>
      </c>
    </row>
    <row r="95" spans="1:6" x14ac:dyDescent="0.3">
      <c r="A95" t="s">
        <v>188</v>
      </c>
      <c r="B95">
        <v>46.33</v>
      </c>
      <c r="C95">
        <v>94</v>
      </c>
      <c r="D95" t="s">
        <v>294</v>
      </c>
      <c r="E95" t="s">
        <v>490</v>
      </c>
      <c r="F95" t="s">
        <v>491</v>
      </c>
    </row>
    <row r="96" spans="1:6" x14ac:dyDescent="0.3">
      <c r="A96" t="s">
        <v>190</v>
      </c>
      <c r="B96">
        <v>46.31</v>
      </c>
      <c r="C96">
        <v>95</v>
      </c>
      <c r="D96" t="s">
        <v>294</v>
      </c>
      <c r="E96" t="s">
        <v>492</v>
      </c>
      <c r="F96" t="s">
        <v>493</v>
      </c>
    </row>
    <row r="97" spans="1:6" x14ac:dyDescent="0.3">
      <c r="A97" t="s">
        <v>192</v>
      </c>
      <c r="B97">
        <v>46.22</v>
      </c>
      <c r="C97">
        <v>96</v>
      </c>
      <c r="D97" t="s">
        <v>294</v>
      </c>
      <c r="E97" t="s">
        <v>494</v>
      </c>
      <c r="F97" t="s">
        <v>495</v>
      </c>
    </row>
    <row r="98" spans="1:6" x14ac:dyDescent="0.3">
      <c r="A98" t="s">
        <v>194</v>
      </c>
      <c r="B98">
        <v>45.89</v>
      </c>
      <c r="C98">
        <v>97</v>
      </c>
      <c r="D98" t="s">
        <v>294</v>
      </c>
      <c r="E98" t="s">
        <v>496</v>
      </c>
      <c r="F98" t="s">
        <v>497</v>
      </c>
    </row>
    <row r="99" spans="1:6" x14ac:dyDescent="0.3">
      <c r="A99" t="s">
        <v>196</v>
      </c>
      <c r="B99">
        <v>45.78</v>
      </c>
      <c r="C99">
        <v>98</v>
      </c>
      <c r="D99" t="s">
        <v>294</v>
      </c>
      <c r="E99" t="s">
        <v>498</v>
      </c>
      <c r="F99" t="s">
        <v>499</v>
      </c>
    </row>
    <row r="100" spans="1:6" x14ac:dyDescent="0.3">
      <c r="A100" t="s">
        <v>198</v>
      </c>
      <c r="B100">
        <v>45.73</v>
      </c>
      <c r="C100">
        <v>99</v>
      </c>
      <c r="D100" t="s">
        <v>294</v>
      </c>
      <c r="E100" t="s">
        <v>500</v>
      </c>
      <c r="F100" t="s">
        <v>501</v>
      </c>
    </row>
    <row r="101" spans="1:6" x14ac:dyDescent="0.3">
      <c r="A101" t="s">
        <v>200</v>
      </c>
      <c r="B101">
        <v>45.51</v>
      </c>
      <c r="C101">
        <v>100</v>
      </c>
      <c r="D101" t="s">
        <v>294</v>
      </c>
      <c r="E101" t="s">
        <v>502</v>
      </c>
      <c r="F101" t="s">
        <v>503</v>
      </c>
    </row>
  </sheetData>
  <phoneticPr fontId="1" type="noConversion"/>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686CA5-1921-4468-BEE4-9FE81659050A}">
  <dimension ref="A1:C101"/>
  <sheetViews>
    <sheetView workbookViewId="0">
      <selection sqref="A1:C101"/>
    </sheetView>
  </sheetViews>
  <sheetFormatPr defaultRowHeight="14.4" x14ac:dyDescent="0.3"/>
  <cols>
    <col min="1" max="1" width="12.44140625" bestFit="1" customWidth="1"/>
    <col min="2" max="2" width="30.77734375" bestFit="1" customWidth="1"/>
    <col min="3" max="3" width="17.33203125" bestFit="1" customWidth="1"/>
  </cols>
  <sheetData>
    <row r="1" spans="1:3" x14ac:dyDescent="0.3">
      <c r="A1" t="s">
        <v>0</v>
      </c>
      <c r="B1" t="s">
        <v>202</v>
      </c>
      <c r="C1" t="s">
        <v>203</v>
      </c>
    </row>
    <row r="2" spans="1:3" x14ac:dyDescent="0.3">
      <c r="A2" t="s">
        <v>2</v>
      </c>
      <c r="B2" t="s">
        <v>204</v>
      </c>
      <c r="C2" t="s">
        <v>205</v>
      </c>
    </row>
    <row r="3" spans="1:3" x14ac:dyDescent="0.3">
      <c r="A3" t="s">
        <v>4</v>
      </c>
      <c r="B3" t="s">
        <v>206</v>
      </c>
      <c r="C3" t="s">
        <v>207</v>
      </c>
    </row>
    <row r="4" spans="1:3" x14ac:dyDescent="0.3">
      <c r="A4" t="s">
        <v>6</v>
      </c>
      <c r="B4" t="s">
        <v>206</v>
      </c>
      <c r="C4" t="s">
        <v>207</v>
      </c>
    </row>
    <row r="5" spans="1:3" x14ac:dyDescent="0.3">
      <c r="A5" t="s">
        <v>8</v>
      </c>
      <c r="B5" t="s">
        <v>208</v>
      </c>
      <c r="C5" t="s">
        <v>205</v>
      </c>
    </row>
    <row r="6" spans="1:3" x14ac:dyDescent="0.3">
      <c r="A6" t="s">
        <v>10</v>
      </c>
      <c r="B6" t="s">
        <v>209</v>
      </c>
      <c r="C6" t="s">
        <v>210</v>
      </c>
    </row>
    <row r="7" spans="1:3" x14ac:dyDescent="0.3">
      <c r="A7" t="s">
        <v>12</v>
      </c>
      <c r="B7" t="s">
        <v>207</v>
      </c>
      <c r="C7" t="s">
        <v>207</v>
      </c>
    </row>
    <row r="8" spans="1:3" x14ac:dyDescent="0.3">
      <c r="A8" t="s">
        <v>14</v>
      </c>
      <c r="B8" t="s">
        <v>211</v>
      </c>
      <c r="C8" t="s">
        <v>212</v>
      </c>
    </row>
    <row r="9" spans="1:3" x14ac:dyDescent="0.3">
      <c r="A9" t="s">
        <v>16</v>
      </c>
      <c r="B9" t="s">
        <v>213</v>
      </c>
      <c r="C9" t="s">
        <v>210</v>
      </c>
    </row>
    <row r="10" spans="1:3" x14ac:dyDescent="0.3">
      <c r="A10" t="s">
        <v>18</v>
      </c>
      <c r="B10" t="s">
        <v>214</v>
      </c>
      <c r="C10" t="s">
        <v>215</v>
      </c>
    </row>
    <row r="11" spans="1:3" x14ac:dyDescent="0.3">
      <c r="A11" t="s">
        <v>20</v>
      </c>
      <c r="B11" t="s">
        <v>216</v>
      </c>
      <c r="C11" t="s">
        <v>212</v>
      </c>
    </row>
    <row r="12" spans="1:3" x14ac:dyDescent="0.3">
      <c r="A12" t="s">
        <v>22</v>
      </c>
      <c r="B12" t="s">
        <v>217</v>
      </c>
      <c r="C12" t="s">
        <v>212</v>
      </c>
    </row>
    <row r="13" spans="1:3" x14ac:dyDescent="0.3">
      <c r="A13" t="s">
        <v>24</v>
      </c>
      <c r="B13" t="s">
        <v>217</v>
      </c>
      <c r="C13" t="s">
        <v>212</v>
      </c>
    </row>
    <row r="14" spans="1:3" x14ac:dyDescent="0.3">
      <c r="A14" t="s">
        <v>26</v>
      </c>
      <c r="B14" t="s">
        <v>217</v>
      </c>
      <c r="C14" t="s">
        <v>212</v>
      </c>
    </row>
    <row r="15" spans="1:3" x14ac:dyDescent="0.3">
      <c r="A15" t="s">
        <v>28</v>
      </c>
      <c r="B15" t="s">
        <v>218</v>
      </c>
      <c r="C15" t="s">
        <v>219</v>
      </c>
    </row>
    <row r="16" spans="1:3" x14ac:dyDescent="0.3">
      <c r="A16" t="s">
        <v>30</v>
      </c>
      <c r="B16" t="s">
        <v>218</v>
      </c>
      <c r="C16" t="s">
        <v>219</v>
      </c>
    </row>
    <row r="17" spans="1:3" x14ac:dyDescent="0.3">
      <c r="A17" t="s">
        <v>32</v>
      </c>
      <c r="B17" t="s">
        <v>220</v>
      </c>
      <c r="C17" t="s">
        <v>221</v>
      </c>
    </row>
    <row r="18" spans="1:3" x14ac:dyDescent="0.3">
      <c r="A18" t="s">
        <v>34</v>
      </c>
      <c r="B18" t="s">
        <v>222</v>
      </c>
      <c r="C18" t="s">
        <v>223</v>
      </c>
    </row>
    <row r="19" spans="1:3" x14ac:dyDescent="0.3">
      <c r="A19" t="s">
        <v>36</v>
      </c>
      <c r="B19" t="s">
        <v>214</v>
      </c>
      <c r="C19" t="s">
        <v>215</v>
      </c>
    </row>
    <row r="20" spans="1:3" x14ac:dyDescent="0.3">
      <c r="A20" t="s">
        <v>38</v>
      </c>
      <c r="B20" t="s">
        <v>224</v>
      </c>
      <c r="C20" t="s">
        <v>225</v>
      </c>
    </row>
    <row r="21" spans="1:3" x14ac:dyDescent="0.3">
      <c r="A21" t="s">
        <v>40</v>
      </c>
      <c r="B21" t="s">
        <v>226</v>
      </c>
      <c r="C21" t="s">
        <v>227</v>
      </c>
    </row>
    <row r="22" spans="1:3" x14ac:dyDescent="0.3">
      <c r="A22" t="s">
        <v>42</v>
      </c>
      <c r="B22" t="s">
        <v>228</v>
      </c>
      <c r="C22" t="s">
        <v>229</v>
      </c>
    </row>
    <row r="23" spans="1:3" x14ac:dyDescent="0.3">
      <c r="A23" t="s">
        <v>44</v>
      </c>
      <c r="B23" t="s">
        <v>230</v>
      </c>
      <c r="C23" t="s">
        <v>231</v>
      </c>
    </row>
    <row r="24" spans="1:3" x14ac:dyDescent="0.3">
      <c r="A24" t="s">
        <v>46</v>
      </c>
      <c r="B24" t="s">
        <v>232</v>
      </c>
      <c r="C24" t="s">
        <v>221</v>
      </c>
    </row>
    <row r="25" spans="1:3" x14ac:dyDescent="0.3">
      <c r="A25" t="s">
        <v>48</v>
      </c>
      <c r="B25" t="s">
        <v>233</v>
      </c>
      <c r="C25" t="s">
        <v>205</v>
      </c>
    </row>
    <row r="26" spans="1:3" x14ac:dyDescent="0.3">
      <c r="A26" t="s">
        <v>50</v>
      </c>
      <c r="B26" t="s">
        <v>234</v>
      </c>
      <c r="C26" t="s">
        <v>231</v>
      </c>
    </row>
    <row r="27" spans="1:3" x14ac:dyDescent="0.3">
      <c r="A27" t="s">
        <v>52</v>
      </c>
      <c r="B27" t="s">
        <v>211</v>
      </c>
      <c r="C27" t="s">
        <v>212</v>
      </c>
    </row>
    <row r="28" spans="1:3" x14ac:dyDescent="0.3">
      <c r="A28" t="s">
        <v>54</v>
      </c>
      <c r="B28" t="s">
        <v>235</v>
      </c>
      <c r="C28" t="s">
        <v>227</v>
      </c>
    </row>
    <row r="29" spans="1:3" x14ac:dyDescent="0.3">
      <c r="A29" t="s">
        <v>56</v>
      </c>
      <c r="B29" t="s">
        <v>236</v>
      </c>
      <c r="C29" t="s">
        <v>212</v>
      </c>
    </row>
    <row r="30" spans="1:3" x14ac:dyDescent="0.3">
      <c r="A30" t="s">
        <v>58</v>
      </c>
      <c r="B30" t="s">
        <v>237</v>
      </c>
      <c r="C30" t="s">
        <v>227</v>
      </c>
    </row>
    <row r="31" spans="1:3" x14ac:dyDescent="0.3">
      <c r="A31" t="s">
        <v>60</v>
      </c>
      <c r="B31" t="s">
        <v>238</v>
      </c>
      <c r="C31" t="s">
        <v>212</v>
      </c>
    </row>
    <row r="32" spans="1:3" x14ac:dyDescent="0.3">
      <c r="A32" t="s">
        <v>62</v>
      </c>
      <c r="B32" t="s">
        <v>232</v>
      </c>
      <c r="C32" t="s">
        <v>221</v>
      </c>
    </row>
    <row r="33" spans="1:3" x14ac:dyDescent="0.3">
      <c r="A33" t="s">
        <v>64</v>
      </c>
      <c r="B33" t="s">
        <v>239</v>
      </c>
      <c r="C33" t="s">
        <v>210</v>
      </c>
    </row>
    <row r="34" spans="1:3" x14ac:dyDescent="0.3">
      <c r="A34" t="s">
        <v>66</v>
      </c>
      <c r="B34" t="s">
        <v>240</v>
      </c>
      <c r="C34" t="s">
        <v>210</v>
      </c>
    </row>
    <row r="35" spans="1:3" x14ac:dyDescent="0.3">
      <c r="A35" t="s">
        <v>68</v>
      </c>
      <c r="B35" t="s">
        <v>241</v>
      </c>
      <c r="C35" t="s">
        <v>229</v>
      </c>
    </row>
    <row r="36" spans="1:3" x14ac:dyDescent="0.3">
      <c r="A36" t="s">
        <v>70</v>
      </c>
      <c r="B36" t="s">
        <v>220</v>
      </c>
      <c r="C36" t="s">
        <v>221</v>
      </c>
    </row>
    <row r="37" spans="1:3" x14ac:dyDescent="0.3">
      <c r="A37" t="s">
        <v>72</v>
      </c>
      <c r="B37" t="s">
        <v>242</v>
      </c>
      <c r="C37" t="s">
        <v>212</v>
      </c>
    </row>
    <row r="38" spans="1:3" x14ac:dyDescent="0.3">
      <c r="A38" t="s">
        <v>74</v>
      </c>
      <c r="B38" t="s">
        <v>243</v>
      </c>
      <c r="C38" t="s">
        <v>229</v>
      </c>
    </row>
    <row r="39" spans="1:3" x14ac:dyDescent="0.3">
      <c r="A39" t="s">
        <v>76</v>
      </c>
      <c r="B39" t="s">
        <v>244</v>
      </c>
      <c r="C39" t="s">
        <v>244</v>
      </c>
    </row>
    <row r="40" spans="1:3" x14ac:dyDescent="0.3">
      <c r="A40" t="s">
        <v>78</v>
      </c>
      <c r="B40" t="s">
        <v>217</v>
      </c>
      <c r="C40" t="s">
        <v>212</v>
      </c>
    </row>
    <row r="41" spans="1:3" x14ac:dyDescent="0.3">
      <c r="A41" t="s">
        <v>80</v>
      </c>
      <c r="B41" t="s">
        <v>245</v>
      </c>
      <c r="C41" t="s">
        <v>246</v>
      </c>
    </row>
    <row r="42" spans="1:3" x14ac:dyDescent="0.3">
      <c r="A42" t="s">
        <v>82</v>
      </c>
      <c r="B42" t="s">
        <v>206</v>
      </c>
      <c r="C42" t="s">
        <v>207</v>
      </c>
    </row>
    <row r="43" spans="1:3" x14ac:dyDescent="0.3">
      <c r="A43" t="s">
        <v>84</v>
      </c>
      <c r="B43" t="s">
        <v>247</v>
      </c>
      <c r="C43" t="s">
        <v>221</v>
      </c>
    </row>
    <row r="44" spans="1:3" x14ac:dyDescent="0.3">
      <c r="A44" t="s">
        <v>86</v>
      </c>
      <c r="B44" t="s">
        <v>222</v>
      </c>
      <c r="C44" t="s">
        <v>223</v>
      </c>
    </row>
    <row r="45" spans="1:3" x14ac:dyDescent="0.3">
      <c r="A45" t="s">
        <v>88</v>
      </c>
      <c r="B45" t="s">
        <v>232</v>
      </c>
      <c r="C45" t="s">
        <v>221</v>
      </c>
    </row>
    <row r="46" spans="1:3" x14ac:dyDescent="0.3">
      <c r="A46" t="s">
        <v>90</v>
      </c>
      <c r="B46" t="s">
        <v>248</v>
      </c>
      <c r="C46" t="s">
        <v>249</v>
      </c>
    </row>
    <row r="47" spans="1:3" x14ac:dyDescent="0.3">
      <c r="A47" t="s">
        <v>92</v>
      </c>
      <c r="B47" t="s">
        <v>250</v>
      </c>
      <c r="C47" t="s">
        <v>251</v>
      </c>
    </row>
    <row r="48" spans="1:3" x14ac:dyDescent="0.3">
      <c r="A48" t="s">
        <v>94</v>
      </c>
      <c r="B48" t="s">
        <v>252</v>
      </c>
      <c r="C48" t="s">
        <v>212</v>
      </c>
    </row>
    <row r="49" spans="1:3" x14ac:dyDescent="0.3">
      <c r="A49" t="s">
        <v>96</v>
      </c>
      <c r="B49" t="s">
        <v>206</v>
      </c>
      <c r="C49" t="s">
        <v>207</v>
      </c>
    </row>
    <row r="50" spans="1:3" x14ac:dyDescent="0.3">
      <c r="A50" t="s">
        <v>98</v>
      </c>
      <c r="B50" t="s">
        <v>220</v>
      </c>
      <c r="C50" t="s">
        <v>221</v>
      </c>
    </row>
    <row r="51" spans="1:3" x14ac:dyDescent="0.3">
      <c r="A51" t="s">
        <v>100</v>
      </c>
      <c r="B51" t="s">
        <v>253</v>
      </c>
      <c r="C51" t="s">
        <v>249</v>
      </c>
    </row>
    <row r="52" spans="1:3" x14ac:dyDescent="0.3">
      <c r="A52" t="s">
        <v>102</v>
      </c>
      <c r="B52" t="s">
        <v>217</v>
      </c>
      <c r="C52" t="s">
        <v>212</v>
      </c>
    </row>
    <row r="53" spans="1:3" x14ac:dyDescent="0.3">
      <c r="A53" t="s">
        <v>104</v>
      </c>
      <c r="B53" t="s">
        <v>250</v>
      </c>
      <c r="C53" t="s">
        <v>251</v>
      </c>
    </row>
    <row r="54" spans="1:3" x14ac:dyDescent="0.3">
      <c r="A54" t="s">
        <v>106</v>
      </c>
      <c r="B54" t="s">
        <v>240</v>
      </c>
      <c r="C54" t="s">
        <v>210</v>
      </c>
    </row>
    <row r="55" spans="1:3" x14ac:dyDescent="0.3">
      <c r="A55" t="s">
        <v>108</v>
      </c>
      <c r="B55" t="s">
        <v>233</v>
      </c>
      <c r="C55" t="s">
        <v>205</v>
      </c>
    </row>
    <row r="56" spans="1:3" x14ac:dyDescent="0.3">
      <c r="A56" t="s">
        <v>110</v>
      </c>
      <c r="B56" t="s">
        <v>217</v>
      </c>
      <c r="C56" t="s">
        <v>212</v>
      </c>
    </row>
    <row r="57" spans="1:3" x14ac:dyDescent="0.3">
      <c r="A57" t="s">
        <v>112</v>
      </c>
      <c r="B57" t="s">
        <v>254</v>
      </c>
      <c r="C57" t="s">
        <v>212</v>
      </c>
    </row>
    <row r="58" spans="1:3" x14ac:dyDescent="0.3">
      <c r="A58" t="s">
        <v>114</v>
      </c>
      <c r="B58" t="s">
        <v>255</v>
      </c>
      <c r="C58" t="s">
        <v>227</v>
      </c>
    </row>
    <row r="59" spans="1:3" x14ac:dyDescent="0.3">
      <c r="A59" t="s">
        <v>116</v>
      </c>
      <c r="B59" t="s">
        <v>220</v>
      </c>
      <c r="C59" t="s">
        <v>221</v>
      </c>
    </row>
    <row r="60" spans="1:3" x14ac:dyDescent="0.3">
      <c r="A60" t="s">
        <v>118</v>
      </c>
      <c r="B60" t="s">
        <v>256</v>
      </c>
      <c r="C60" t="s">
        <v>231</v>
      </c>
    </row>
    <row r="61" spans="1:3" x14ac:dyDescent="0.3">
      <c r="A61" t="s">
        <v>120</v>
      </c>
      <c r="B61" t="s">
        <v>204</v>
      </c>
      <c r="C61" t="s">
        <v>205</v>
      </c>
    </row>
    <row r="62" spans="1:3" x14ac:dyDescent="0.3">
      <c r="A62" t="s">
        <v>122</v>
      </c>
      <c r="B62" t="s">
        <v>220</v>
      </c>
      <c r="C62" t="s">
        <v>221</v>
      </c>
    </row>
    <row r="63" spans="1:3" x14ac:dyDescent="0.3">
      <c r="A63" t="s">
        <v>124</v>
      </c>
      <c r="B63" t="s">
        <v>257</v>
      </c>
      <c r="C63" t="s">
        <v>210</v>
      </c>
    </row>
    <row r="64" spans="1:3" x14ac:dyDescent="0.3">
      <c r="A64" t="s">
        <v>126</v>
      </c>
      <c r="B64" t="s">
        <v>258</v>
      </c>
      <c r="C64" t="s">
        <v>212</v>
      </c>
    </row>
    <row r="65" spans="1:3" x14ac:dyDescent="0.3">
      <c r="A65" t="s">
        <v>128</v>
      </c>
      <c r="B65" t="s">
        <v>259</v>
      </c>
      <c r="C65" t="s">
        <v>225</v>
      </c>
    </row>
    <row r="66" spans="1:3" x14ac:dyDescent="0.3">
      <c r="A66" t="s">
        <v>130</v>
      </c>
      <c r="B66" t="s">
        <v>204</v>
      </c>
      <c r="C66" t="s">
        <v>205</v>
      </c>
    </row>
    <row r="67" spans="1:3" x14ac:dyDescent="0.3">
      <c r="A67" t="s">
        <v>132</v>
      </c>
      <c r="B67" t="s">
        <v>260</v>
      </c>
      <c r="C67" t="s">
        <v>205</v>
      </c>
    </row>
    <row r="68" spans="1:3" x14ac:dyDescent="0.3">
      <c r="A68" t="s">
        <v>134</v>
      </c>
      <c r="B68" t="s">
        <v>261</v>
      </c>
      <c r="C68" t="s">
        <v>225</v>
      </c>
    </row>
    <row r="69" spans="1:3" x14ac:dyDescent="0.3">
      <c r="A69" t="s">
        <v>136</v>
      </c>
      <c r="B69" t="s">
        <v>262</v>
      </c>
      <c r="C69" t="s">
        <v>263</v>
      </c>
    </row>
    <row r="70" spans="1:3" x14ac:dyDescent="0.3">
      <c r="A70" t="s">
        <v>138</v>
      </c>
      <c r="B70" t="s">
        <v>264</v>
      </c>
      <c r="C70" t="s">
        <v>246</v>
      </c>
    </row>
    <row r="71" spans="1:3" x14ac:dyDescent="0.3">
      <c r="A71" t="s">
        <v>140</v>
      </c>
      <c r="B71" t="s">
        <v>265</v>
      </c>
      <c r="C71" t="s">
        <v>266</v>
      </c>
    </row>
    <row r="72" spans="1:3" x14ac:dyDescent="0.3">
      <c r="A72" t="s">
        <v>142</v>
      </c>
      <c r="B72" t="s">
        <v>267</v>
      </c>
      <c r="C72" t="s">
        <v>268</v>
      </c>
    </row>
    <row r="73" spans="1:3" x14ac:dyDescent="0.3">
      <c r="A73" t="s">
        <v>144</v>
      </c>
      <c r="B73" t="s">
        <v>256</v>
      </c>
      <c r="C73" t="s">
        <v>231</v>
      </c>
    </row>
    <row r="74" spans="1:3" x14ac:dyDescent="0.3">
      <c r="A74" t="s">
        <v>146</v>
      </c>
      <c r="B74" t="s">
        <v>217</v>
      </c>
      <c r="C74" t="s">
        <v>212</v>
      </c>
    </row>
    <row r="75" spans="1:3" x14ac:dyDescent="0.3">
      <c r="A75" t="s">
        <v>148</v>
      </c>
      <c r="B75" t="s">
        <v>222</v>
      </c>
      <c r="C75" t="s">
        <v>223</v>
      </c>
    </row>
    <row r="76" spans="1:3" x14ac:dyDescent="0.3">
      <c r="A76" t="s">
        <v>150</v>
      </c>
      <c r="B76" t="s">
        <v>269</v>
      </c>
      <c r="C76" t="s">
        <v>205</v>
      </c>
    </row>
    <row r="77" spans="1:3" x14ac:dyDescent="0.3">
      <c r="A77" t="s">
        <v>152</v>
      </c>
      <c r="B77" t="s">
        <v>270</v>
      </c>
      <c r="C77" t="s">
        <v>271</v>
      </c>
    </row>
    <row r="78" spans="1:3" x14ac:dyDescent="0.3">
      <c r="A78" t="s">
        <v>154</v>
      </c>
      <c r="B78" t="s">
        <v>272</v>
      </c>
      <c r="C78" t="s">
        <v>273</v>
      </c>
    </row>
    <row r="79" spans="1:3" x14ac:dyDescent="0.3">
      <c r="A79" t="s">
        <v>156</v>
      </c>
      <c r="B79" t="s">
        <v>232</v>
      </c>
      <c r="C79" t="s">
        <v>221</v>
      </c>
    </row>
    <row r="80" spans="1:3" x14ac:dyDescent="0.3">
      <c r="A80" t="s">
        <v>158</v>
      </c>
      <c r="B80" t="s">
        <v>274</v>
      </c>
      <c r="C80" t="s">
        <v>212</v>
      </c>
    </row>
    <row r="81" spans="1:3" x14ac:dyDescent="0.3">
      <c r="A81" t="s">
        <v>160</v>
      </c>
      <c r="B81" t="s">
        <v>206</v>
      </c>
      <c r="C81" t="s">
        <v>207</v>
      </c>
    </row>
    <row r="82" spans="1:3" x14ac:dyDescent="0.3">
      <c r="A82" t="s">
        <v>162</v>
      </c>
      <c r="B82" t="s">
        <v>204</v>
      </c>
      <c r="C82" t="s">
        <v>205</v>
      </c>
    </row>
    <row r="83" spans="1:3" x14ac:dyDescent="0.3">
      <c r="A83" t="s">
        <v>164</v>
      </c>
      <c r="B83" t="s">
        <v>275</v>
      </c>
      <c r="C83" t="s">
        <v>276</v>
      </c>
    </row>
    <row r="84" spans="1:3" x14ac:dyDescent="0.3">
      <c r="A84" t="s">
        <v>166</v>
      </c>
      <c r="B84" t="s">
        <v>277</v>
      </c>
      <c r="C84" t="s">
        <v>227</v>
      </c>
    </row>
    <row r="85" spans="1:3" x14ac:dyDescent="0.3">
      <c r="A85" t="s">
        <v>168</v>
      </c>
      <c r="B85" t="s">
        <v>211</v>
      </c>
      <c r="C85" t="s">
        <v>212</v>
      </c>
    </row>
    <row r="86" spans="1:3" x14ac:dyDescent="0.3">
      <c r="A86" t="s">
        <v>170</v>
      </c>
      <c r="B86" t="s">
        <v>278</v>
      </c>
      <c r="C86" t="s">
        <v>227</v>
      </c>
    </row>
    <row r="87" spans="1:3" x14ac:dyDescent="0.3">
      <c r="A87" t="s">
        <v>172</v>
      </c>
      <c r="B87" t="s">
        <v>279</v>
      </c>
      <c r="C87" t="s">
        <v>210</v>
      </c>
    </row>
    <row r="88" spans="1:3" x14ac:dyDescent="0.3">
      <c r="A88" t="s">
        <v>174</v>
      </c>
      <c r="B88" t="s">
        <v>280</v>
      </c>
      <c r="C88" t="s">
        <v>231</v>
      </c>
    </row>
    <row r="89" spans="1:3" x14ac:dyDescent="0.3">
      <c r="A89" t="s">
        <v>176</v>
      </c>
      <c r="B89" t="s">
        <v>281</v>
      </c>
      <c r="C89" t="s">
        <v>251</v>
      </c>
    </row>
    <row r="90" spans="1:3" x14ac:dyDescent="0.3">
      <c r="A90" t="s">
        <v>178</v>
      </c>
      <c r="B90" t="s">
        <v>282</v>
      </c>
      <c r="C90" t="s">
        <v>229</v>
      </c>
    </row>
    <row r="91" spans="1:3" x14ac:dyDescent="0.3">
      <c r="A91" t="s">
        <v>180</v>
      </c>
      <c r="B91" t="s">
        <v>204</v>
      </c>
      <c r="C91" t="s">
        <v>205</v>
      </c>
    </row>
    <row r="92" spans="1:3" x14ac:dyDescent="0.3">
      <c r="A92" t="s">
        <v>182</v>
      </c>
      <c r="B92" t="s">
        <v>283</v>
      </c>
      <c r="C92" t="s">
        <v>227</v>
      </c>
    </row>
    <row r="93" spans="1:3" x14ac:dyDescent="0.3">
      <c r="A93" t="s">
        <v>184</v>
      </c>
      <c r="B93" t="s">
        <v>284</v>
      </c>
      <c r="C93" t="s">
        <v>268</v>
      </c>
    </row>
    <row r="94" spans="1:3" x14ac:dyDescent="0.3">
      <c r="A94" t="s">
        <v>186</v>
      </c>
      <c r="B94" t="s">
        <v>285</v>
      </c>
      <c r="C94" t="s">
        <v>212</v>
      </c>
    </row>
    <row r="95" spans="1:3" x14ac:dyDescent="0.3">
      <c r="A95" t="s">
        <v>188</v>
      </c>
      <c r="B95" t="s">
        <v>286</v>
      </c>
      <c r="C95" t="s">
        <v>210</v>
      </c>
    </row>
    <row r="96" spans="1:3" x14ac:dyDescent="0.3">
      <c r="A96" t="s">
        <v>190</v>
      </c>
      <c r="B96" t="s">
        <v>260</v>
      </c>
      <c r="C96" t="s">
        <v>205</v>
      </c>
    </row>
    <row r="97" spans="1:3" x14ac:dyDescent="0.3">
      <c r="A97" t="s">
        <v>192</v>
      </c>
      <c r="B97" t="s">
        <v>217</v>
      </c>
      <c r="C97" t="s">
        <v>212</v>
      </c>
    </row>
    <row r="98" spans="1:3" x14ac:dyDescent="0.3">
      <c r="A98" t="s">
        <v>194</v>
      </c>
      <c r="B98" t="s">
        <v>240</v>
      </c>
      <c r="C98" t="s">
        <v>210</v>
      </c>
    </row>
    <row r="99" spans="1:3" x14ac:dyDescent="0.3">
      <c r="A99" t="s">
        <v>196</v>
      </c>
      <c r="B99" t="s">
        <v>211</v>
      </c>
      <c r="C99" t="s">
        <v>212</v>
      </c>
    </row>
    <row r="100" spans="1:3" x14ac:dyDescent="0.3">
      <c r="A100" t="s">
        <v>198</v>
      </c>
      <c r="B100" t="s">
        <v>287</v>
      </c>
      <c r="C100" t="s">
        <v>212</v>
      </c>
    </row>
    <row r="101" spans="1:3" x14ac:dyDescent="0.3">
      <c r="A101" t="s">
        <v>200</v>
      </c>
      <c r="B101" t="s">
        <v>207</v>
      </c>
      <c r="C101" t="s">
        <v>207</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1E94DB-9553-4A00-946B-7043F0DFE487}">
  <dimension ref="A1:B101"/>
  <sheetViews>
    <sheetView workbookViewId="0">
      <selection sqref="A1:B101"/>
    </sheetView>
  </sheetViews>
  <sheetFormatPr defaultRowHeight="14.4" x14ac:dyDescent="0.3"/>
  <cols>
    <col min="1" max="1" width="12.44140625" bestFit="1" customWidth="1"/>
    <col min="2" max="2" width="67.88671875" bestFit="1" customWidth="1"/>
  </cols>
  <sheetData>
    <row r="1" spans="1:2" x14ac:dyDescent="0.3">
      <c r="A1" t="s">
        <v>0</v>
      </c>
      <c r="B1" t="s">
        <v>1</v>
      </c>
    </row>
    <row r="2" spans="1:2" x14ac:dyDescent="0.3">
      <c r="A2" t="s">
        <v>2</v>
      </c>
      <c r="B2" t="s">
        <v>3</v>
      </c>
    </row>
    <row r="3" spans="1:2" x14ac:dyDescent="0.3">
      <c r="A3" t="s">
        <v>4</v>
      </c>
      <c r="B3" t="s">
        <v>5</v>
      </c>
    </row>
    <row r="4" spans="1:2" x14ac:dyDescent="0.3">
      <c r="A4" t="s">
        <v>6</v>
      </c>
      <c r="B4" t="s">
        <v>7</v>
      </c>
    </row>
    <row r="5" spans="1:2" x14ac:dyDescent="0.3">
      <c r="A5" t="s">
        <v>8</v>
      </c>
      <c r="B5" t="s">
        <v>9</v>
      </c>
    </row>
    <row r="6" spans="1:2" x14ac:dyDescent="0.3">
      <c r="A6" t="s">
        <v>10</v>
      </c>
      <c r="B6" t="s">
        <v>11</v>
      </c>
    </row>
    <row r="7" spans="1:2" x14ac:dyDescent="0.3">
      <c r="A7" t="s">
        <v>12</v>
      </c>
      <c r="B7" t="s">
        <v>13</v>
      </c>
    </row>
    <row r="8" spans="1:2" x14ac:dyDescent="0.3">
      <c r="A8" t="s">
        <v>14</v>
      </c>
      <c r="B8" t="s">
        <v>15</v>
      </c>
    </row>
    <row r="9" spans="1:2" x14ac:dyDescent="0.3">
      <c r="A9" t="s">
        <v>16</v>
      </c>
      <c r="B9" t="s">
        <v>17</v>
      </c>
    </row>
    <row r="10" spans="1:2" x14ac:dyDescent="0.3">
      <c r="A10" t="s">
        <v>18</v>
      </c>
      <c r="B10" t="s">
        <v>19</v>
      </c>
    </row>
    <row r="11" spans="1:2" x14ac:dyDescent="0.3">
      <c r="A11" t="s">
        <v>20</v>
      </c>
      <c r="B11" t="s">
        <v>21</v>
      </c>
    </row>
    <row r="12" spans="1:2" x14ac:dyDescent="0.3">
      <c r="A12" t="s">
        <v>22</v>
      </c>
      <c r="B12" t="s">
        <v>23</v>
      </c>
    </row>
    <row r="13" spans="1:2" x14ac:dyDescent="0.3">
      <c r="A13" t="s">
        <v>24</v>
      </c>
      <c r="B13" t="s">
        <v>25</v>
      </c>
    </row>
    <row r="14" spans="1:2" x14ac:dyDescent="0.3">
      <c r="A14" t="s">
        <v>26</v>
      </c>
      <c r="B14" t="s">
        <v>27</v>
      </c>
    </row>
    <row r="15" spans="1:2" x14ac:dyDescent="0.3">
      <c r="A15" t="s">
        <v>28</v>
      </c>
      <c r="B15" t="s">
        <v>29</v>
      </c>
    </row>
    <row r="16" spans="1:2" x14ac:dyDescent="0.3">
      <c r="A16" t="s">
        <v>30</v>
      </c>
      <c r="B16" t="s">
        <v>31</v>
      </c>
    </row>
    <row r="17" spans="1:2" x14ac:dyDescent="0.3">
      <c r="A17" t="s">
        <v>32</v>
      </c>
      <c r="B17" t="s">
        <v>33</v>
      </c>
    </row>
    <row r="18" spans="1:2" x14ac:dyDescent="0.3">
      <c r="A18" t="s">
        <v>34</v>
      </c>
      <c r="B18" t="s">
        <v>35</v>
      </c>
    </row>
    <row r="19" spans="1:2" x14ac:dyDescent="0.3">
      <c r="A19" t="s">
        <v>36</v>
      </c>
      <c r="B19" t="s">
        <v>37</v>
      </c>
    </row>
    <row r="20" spans="1:2" x14ac:dyDescent="0.3">
      <c r="A20" t="s">
        <v>38</v>
      </c>
      <c r="B20" t="s">
        <v>39</v>
      </c>
    </row>
    <row r="21" spans="1:2" x14ac:dyDescent="0.3">
      <c r="A21" t="s">
        <v>40</v>
      </c>
      <c r="B21" t="s">
        <v>41</v>
      </c>
    </row>
    <row r="22" spans="1:2" x14ac:dyDescent="0.3">
      <c r="A22" t="s">
        <v>42</v>
      </c>
      <c r="B22" t="s">
        <v>43</v>
      </c>
    </row>
    <row r="23" spans="1:2" x14ac:dyDescent="0.3">
      <c r="A23" t="s">
        <v>44</v>
      </c>
      <c r="B23" t="s">
        <v>45</v>
      </c>
    </row>
    <row r="24" spans="1:2" x14ac:dyDescent="0.3">
      <c r="A24" t="s">
        <v>46</v>
      </c>
      <c r="B24" t="s">
        <v>47</v>
      </c>
    </row>
    <row r="25" spans="1:2" x14ac:dyDescent="0.3">
      <c r="A25" t="s">
        <v>48</v>
      </c>
      <c r="B25" t="s">
        <v>49</v>
      </c>
    </row>
    <row r="26" spans="1:2" x14ac:dyDescent="0.3">
      <c r="A26" t="s">
        <v>50</v>
      </c>
      <c r="B26" t="s">
        <v>51</v>
      </c>
    </row>
    <row r="27" spans="1:2" x14ac:dyDescent="0.3">
      <c r="A27" t="s">
        <v>52</v>
      </c>
      <c r="B27" t="s">
        <v>53</v>
      </c>
    </row>
    <row r="28" spans="1:2" x14ac:dyDescent="0.3">
      <c r="A28" t="s">
        <v>54</v>
      </c>
      <c r="B28" t="s">
        <v>55</v>
      </c>
    </row>
    <row r="29" spans="1:2" x14ac:dyDescent="0.3">
      <c r="A29" t="s">
        <v>56</v>
      </c>
      <c r="B29" t="s">
        <v>57</v>
      </c>
    </row>
    <row r="30" spans="1:2" x14ac:dyDescent="0.3">
      <c r="A30" t="s">
        <v>58</v>
      </c>
      <c r="B30" t="s">
        <v>59</v>
      </c>
    </row>
    <row r="31" spans="1:2" x14ac:dyDescent="0.3">
      <c r="A31" t="s">
        <v>60</v>
      </c>
      <c r="B31" t="s">
        <v>61</v>
      </c>
    </row>
    <row r="32" spans="1:2" x14ac:dyDescent="0.3">
      <c r="A32" t="s">
        <v>62</v>
      </c>
      <c r="B32" t="s">
        <v>63</v>
      </c>
    </row>
    <row r="33" spans="1:2" x14ac:dyDescent="0.3">
      <c r="A33" t="s">
        <v>64</v>
      </c>
      <c r="B33" t="s">
        <v>65</v>
      </c>
    </row>
    <row r="34" spans="1:2" x14ac:dyDescent="0.3">
      <c r="A34" t="s">
        <v>66</v>
      </c>
      <c r="B34" t="s">
        <v>67</v>
      </c>
    </row>
    <row r="35" spans="1:2" x14ac:dyDescent="0.3">
      <c r="A35" t="s">
        <v>68</v>
      </c>
      <c r="B35" t="s">
        <v>69</v>
      </c>
    </row>
    <row r="36" spans="1:2" x14ac:dyDescent="0.3">
      <c r="A36" t="s">
        <v>70</v>
      </c>
      <c r="B36" t="s">
        <v>71</v>
      </c>
    </row>
    <row r="37" spans="1:2" x14ac:dyDescent="0.3">
      <c r="A37" t="s">
        <v>72</v>
      </c>
      <c r="B37" t="s">
        <v>73</v>
      </c>
    </row>
    <row r="38" spans="1:2" x14ac:dyDescent="0.3">
      <c r="A38" t="s">
        <v>74</v>
      </c>
      <c r="B38" t="s">
        <v>75</v>
      </c>
    </row>
    <row r="39" spans="1:2" x14ac:dyDescent="0.3">
      <c r="A39" t="s">
        <v>76</v>
      </c>
      <c r="B39" t="s">
        <v>77</v>
      </c>
    </row>
    <row r="40" spans="1:2" x14ac:dyDescent="0.3">
      <c r="A40" t="s">
        <v>78</v>
      </c>
      <c r="B40" t="s">
        <v>79</v>
      </c>
    </row>
    <row r="41" spans="1:2" x14ac:dyDescent="0.3">
      <c r="A41" t="s">
        <v>80</v>
      </c>
      <c r="B41" t="s">
        <v>81</v>
      </c>
    </row>
    <row r="42" spans="1:2" x14ac:dyDescent="0.3">
      <c r="A42" t="s">
        <v>82</v>
      </c>
      <c r="B42" t="s">
        <v>83</v>
      </c>
    </row>
    <row r="43" spans="1:2" x14ac:dyDescent="0.3">
      <c r="A43" t="s">
        <v>84</v>
      </c>
      <c r="B43" t="s">
        <v>85</v>
      </c>
    </row>
    <row r="44" spans="1:2" x14ac:dyDescent="0.3">
      <c r="A44" t="s">
        <v>86</v>
      </c>
      <c r="B44" t="s">
        <v>87</v>
      </c>
    </row>
    <row r="45" spans="1:2" x14ac:dyDescent="0.3">
      <c r="A45" t="s">
        <v>88</v>
      </c>
      <c r="B45" t="s">
        <v>89</v>
      </c>
    </row>
    <row r="46" spans="1:2" x14ac:dyDescent="0.3">
      <c r="A46" t="s">
        <v>90</v>
      </c>
      <c r="B46" t="s">
        <v>91</v>
      </c>
    </row>
    <row r="47" spans="1:2" x14ac:dyDescent="0.3">
      <c r="A47" t="s">
        <v>92</v>
      </c>
      <c r="B47" t="s">
        <v>93</v>
      </c>
    </row>
    <row r="48" spans="1:2" x14ac:dyDescent="0.3">
      <c r="A48" t="s">
        <v>94</v>
      </c>
      <c r="B48" t="s">
        <v>95</v>
      </c>
    </row>
    <row r="49" spans="1:2" x14ac:dyDescent="0.3">
      <c r="A49" t="s">
        <v>96</v>
      </c>
      <c r="B49" t="s">
        <v>97</v>
      </c>
    </row>
    <row r="50" spans="1:2" x14ac:dyDescent="0.3">
      <c r="A50" t="s">
        <v>98</v>
      </c>
      <c r="B50" t="s">
        <v>99</v>
      </c>
    </row>
    <row r="51" spans="1:2" x14ac:dyDescent="0.3">
      <c r="A51" t="s">
        <v>100</v>
      </c>
      <c r="B51" t="s">
        <v>101</v>
      </c>
    </row>
    <row r="52" spans="1:2" x14ac:dyDescent="0.3">
      <c r="A52" t="s">
        <v>102</v>
      </c>
      <c r="B52" t="s">
        <v>103</v>
      </c>
    </row>
    <row r="53" spans="1:2" x14ac:dyDescent="0.3">
      <c r="A53" t="s">
        <v>104</v>
      </c>
      <c r="B53" t="s">
        <v>105</v>
      </c>
    </row>
    <row r="54" spans="1:2" x14ac:dyDescent="0.3">
      <c r="A54" t="s">
        <v>106</v>
      </c>
      <c r="B54" t="s">
        <v>107</v>
      </c>
    </row>
    <row r="55" spans="1:2" x14ac:dyDescent="0.3">
      <c r="A55" t="s">
        <v>108</v>
      </c>
      <c r="B55" t="s">
        <v>109</v>
      </c>
    </row>
    <row r="56" spans="1:2" x14ac:dyDescent="0.3">
      <c r="A56" t="s">
        <v>110</v>
      </c>
      <c r="B56" t="s">
        <v>111</v>
      </c>
    </row>
    <row r="57" spans="1:2" x14ac:dyDescent="0.3">
      <c r="A57" t="s">
        <v>112</v>
      </c>
      <c r="B57" t="s">
        <v>113</v>
      </c>
    </row>
    <row r="58" spans="1:2" x14ac:dyDescent="0.3">
      <c r="A58" t="s">
        <v>114</v>
      </c>
      <c r="B58" t="s">
        <v>115</v>
      </c>
    </row>
    <row r="59" spans="1:2" x14ac:dyDescent="0.3">
      <c r="A59" t="s">
        <v>116</v>
      </c>
      <c r="B59" t="s">
        <v>117</v>
      </c>
    </row>
    <row r="60" spans="1:2" x14ac:dyDescent="0.3">
      <c r="A60" t="s">
        <v>118</v>
      </c>
      <c r="B60" t="s">
        <v>119</v>
      </c>
    </row>
    <row r="61" spans="1:2" x14ac:dyDescent="0.3">
      <c r="A61" t="s">
        <v>120</v>
      </c>
      <c r="B61" t="s">
        <v>121</v>
      </c>
    </row>
    <row r="62" spans="1:2" x14ac:dyDescent="0.3">
      <c r="A62" t="s">
        <v>122</v>
      </c>
      <c r="B62" t="s">
        <v>123</v>
      </c>
    </row>
    <row r="63" spans="1:2" x14ac:dyDescent="0.3">
      <c r="A63" t="s">
        <v>124</v>
      </c>
      <c r="B63" t="s">
        <v>125</v>
      </c>
    </row>
    <row r="64" spans="1:2" x14ac:dyDescent="0.3">
      <c r="A64" t="s">
        <v>126</v>
      </c>
      <c r="B64" t="s">
        <v>127</v>
      </c>
    </row>
    <row r="65" spans="1:2" x14ac:dyDescent="0.3">
      <c r="A65" t="s">
        <v>128</v>
      </c>
      <c r="B65" t="s">
        <v>129</v>
      </c>
    </row>
    <row r="66" spans="1:2" x14ac:dyDescent="0.3">
      <c r="A66" t="s">
        <v>130</v>
      </c>
      <c r="B66" t="s">
        <v>131</v>
      </c>
    </row>
    <row r="67" spans="1:2" x14ac:dyDescent="0.3">
      <c r="A67" t="s">
        <v>132</v>
      </c>
      <c r="B67" t="s">
        <v>133</v>
      </c>
    </row>
    <row r="68" spans="1:2" x14ac:dyDescent="0.3">
      <c r="A68" t="s">
        <v>134</v>
      </c>
      <c r="B68" t="s">
        <v>135</v>
      </c>
    </row>
    <row r="69" spans="1:2" x14ac:dyDescent="0.3">
      <c r="A69" t="s">
        <v>136</v>
      </c>
      <c r="B69" t="s">
        <v>137</v>
      </c>
    </row>
    <row r="70" spans="1:2" x14ac:dyDescent="0.3">
      <c r="A70" t="s">
        <v>138</v>
      </c>
      <c r="B70" t="s">
        <v>139</v>
      </c>
    </row>
    <row r="71" spans="1:2" x14ac:dyDescent="0.3">
      <c r="A71" t="s">
        <v>140</v>
      </c>
      <c r="B71" t="s">
        <v>141</v>
      </c>
    </row>
    <row r="72" spans="1:2" x14ac:dyDescent="0.3">
      <c r="A72" t="s">
        <v>142</v>
      </c>
      <c r="B72" t="s">
        <v>143</v>
      </c>
    </row>
    <row r="73" spans="1:2" x14ac:dyDescent="0.3">
      <c r="A73" t="s">
        <v>144</v>
      </c>
      <c r="B73" t="s">
        <v>145</v>
      </c>
    </row>
    <row r="74" spans="1:2" x14ac:dyDescent="0.3">
      <c r="A74" t="s">
        <v>146</v>
      </c>
      <c r="B74" t="s">
        <v>147</v>
      </c>
    </row>
    <row r="75" spans="1:2" x14ac:dyDescent="0.3">
      <c r="A75" t="s">
        <v>148</v>
      </c>
      <c r="B75" t="s">
        <v>149</v>
      </c>
    </row>
    <row r="76" spans="1:2" x14ac:dyDescent="0.3">
      <c r="A76" t="s">
        <v>150</v>
      </c>
      <c r="B76" t="s">
        <v>151</v>
      </c>
    </row>
    <row r="77" spans="1:2" x14ac:dyDescent="0.3">
      <c r="A77" t="s">
        <v>152</v>
      </c>
      <c r="B77" t="s">
        <v>153</v>
      </c>
    </row>
    <row r="78" spans="1:2" x14ac:dyDescent="0.3">
      <c r="A78" t="s">
        <v>154</v>
      </c>
      <c r="B78" t="s">
        <v>155</v>
      </c>
    </row>
    <row r="79" spans="1:2" x14ac:dyDescent="0.3">
      <c r="A79" t="s">
        <v>156</v>
      </c>
      <c r="B79" t="s">
        <v>157</v>
      </c>
    </row>
    <row r="80" spans="1:2" x14ac:dyDescent="0.3">
      <c r="A80" t="s">
        <v>158</v>
      </c>
      <c r="B80" t="s">
        <v>159</v>
      </c>
    </row>
    <row r="81" spans="1:2" x14ac:dyDescent="0.3">
      <c r="A81" t="s">
        <v>160</v>
      </c>
      <c r="B81" t="s">
        <v>161</v>
      </c>
    </row>
    <row r="82" spans="1:2" x14ac:dyDescent="0.3">
      <c r="A82" t="s">
        <v>162</v>
      </c>
      <c r="B82" t="s">
        <v>163</v>
      </c>
    </row>
    <row r="83" spans="1:2" x14ac:dyDescent="0.3">
      <c r="A83" t="s">
        <v>164</v>
      </c>
      <c r="B83" t="s">
        <v>165</v>
      </c>
    </row>
    <row r="84" spans="1:2" x14ac:dyDescent="0.3">
      <c r="A84" t="s">
        <v>166</v>
      </c>
      <c r="B84" t="s">
        <v>167</v>
      </c>
    </row>
    <row r="85" spans="1:2" x14ac:dyDescent="0.3">
      <c r="A85" t="s">
        <v>168</v>
      </c>
      <c r="B85" t="s">
        <v>169</v>
      </c>
    </row>
    <row r="86" spans="1:2" x14ac:dyDescent="0.3">
      <c r="A86" t="s">
        <v>170</v>
      </c>
      <c r="B86" t="s">
        <v>171</v>
      </c>
    </row>
    <row r="87" spans="1:2" x14ac:dyDescent="0.3">
      <c r="A87" t="s">
        <v>172</v>
      </c>
      <c r="B87" t="s">
        <v>173</v>
      </c>
    </row>
    <row r="88" spans="1:2" x14ac:dyDescent="0.3">
      <c r="A88" t="s">
        <v>174</v>
      </c>
      <c r="B88" t="s">
        <v>175</v>
      </c>
    </row>
    <row r="89" spans="1:2" x14ac:dyDescent="0.3">
      <c r="A89" t="s">
        <v>176</v>
      </c>
      <c r="B89" t="s">
        <v>177</v>
      </c>
    </row>
    <row r="90" spans="1:2" x14ac:dyDescent="0.3">
      <c r="A90" t="s">
        <v>178</v>
      </c>
      <c r="B90" t="s">
        <v>179</v>
      </c>
    </row>
    <row r="91" spans="1:2" x14ac:dyDescent="0.3">
      <c r="A91" t="s">
        <v>180</v>
      </c>
      <c r="B91" t="s">
        <v>181</v>
      </c>
    </row>
    <row r="92" spans="1:2" x14ac:dyDescent="0.3">
      <c r="A92" t="s">
        <v>182</v>
      </c>
      <c r="B92" t="s">
        <v>183</v>
      </c>
    </row>
    <row r="93" spans="1:2" x14ac:dyDescent="0.3">
      <c r="A93" t="s">
        <v>184</v>
      </c>
      <c r="B93" t="s">
        <v>185</v>
      </c>
    </row>
    <row r="94" spans="1:2" x14ac:dyDescent="0.3">
      <c r="A94" t="s">
        <v>186</v>
      </c>
      <c r="B94" t="s">
        <v>187</v>
      </c>
    </row>
    <row r="95" spans="1:2" x14ac:dyDescent="0.3">
      <c r="A95" t="s">
        <v>188</v>
      </c>
      <c r="B95" t="s">
        <v>189</v>
      </c>
    </row>
    <row r="96" spans="1:2" x14ac:dyDescent="0.3">
      <c r="A96" t="s">
        <v>190</v>
      </c>
      <c r="B96" t="s">
        <v>191</v>
      </c>
    </row>
    <row r="97" spans="1:2" x14ac:dyDescent="0.3">
      <c r="A97" t="s">
        <v>192</v>
      </c>
      <c r="B97" t="s">
        <v>193</v>
      </c>
    </row>
    <row r="98" spans="1:2" x14ac:dyDescent="0.3">
      <c r="A98" t="s">
        <v>194</v>
      </c>
      <c r="B98" t="s">
        <v>195</v>
      </c>
    </row>
    <row r="99" spans="1:2" x14ac:dyDescent="0.3">
      <c r="A99" t="s">
        <v>196</v>
      </c>
      <c r="B99" t="s">
        <v>197</v>
      </c>
    </row>
    <row r="100" spans="1:2" x14ac:dyDescent="0.3">
      <c r="A100" t="s">
        <v>198</v>
      </c>
      <c r="B100" t="s">
        <v>199</v>
      </c>
    </row>
    <row r="101" spans="1:2" x14ac:dyDescent="0.3">
      <c r="A101" t="s">
        <v>200</v>
      </c>
      <c r="B101" t="s">
        <v>201</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4:G7"/>
  <sheetViews>
    <sheetView workbookViewId="0">
      <selection activeCell="C19" sqref="C19"/>
    </sheetView>
  </sheetViews>
  <sheetFormatPr defaultRowHeight="14.4" x14ac:dyDescent="0.3"/>
  <cols>
    <col min="1" max="1" width="18.21875" bestFit="1" customWidth="1"/>
    <col min="5" max="5" width="15.33203125" bestFit="1" customWidth="1"/>
    <col min="7" max="7" width="14.88671875" bestFit="1" customWidth="1"/>
  </cols>
  <sheetData>
    <row r="4" spans="1:7" x14ac:dyDescent="0.3">
      <c r="A4" t="s">
        <v>300</v>
      </c>
      <c r="E4" t="s">
        <v>298</v>
      </c>
      <c r="G4" t="s">
        <v>297</v>
      </c>
    </row>
    <row r="5" spans="1:7" x14ac:dyDescent="0.3">
      <c r="A5">
        <v>100</v>
      </c>
      <c r="E5" s="4">
        <v>53.886099999999999</v>
      </c>
      <c r="G5" s="4">
        <v>50.48</v>
      </c>
    </row>
    <row r="7" spans="1:7" x14ac:dyDescent="0.3">
      <c r="A7">
        <f>GETPIVOTDATA("[Measures].[Count of Institute ID 2]",$A$4)</f>
        <v>100</v>
      </c>
      <c r="E7" s="4">
        <f>GETPIVOTDATA("[Measures].[Average of Score]",$E$4)</f>
        <v>53.886099999999999</v>
      </c>
      <c r="G7" s="5">
        <f>GETPIVOTDATA("[Measures].[Average of Rank]",$G$4)</f>
        <v>50.48</v>
      </c>
    </row>
  </sheetData>
  <pageMargins left="0.7" right="0.7" top="0.75" bottom="0.75" header="0.3" footer="0.3"/>
  <drawing r:id="rId4"/>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A115AA-205C-43CE-B8CE-18A624320FAB}">
  <dimension ref="A1:X29"/>
  <sheetViews>
    <sheetView showGridLines="0" tabSelected="1" workbookViewId="0">
      <selection activeCell="U5" sqref="U5"/>
    </sheetView>
  </sheetViews>
  <sheetFormatPr defaultRowHeight="14.4" x14ac:dyDescent="0.3"/>
  <sheetData>
    <row r="1" spans="1:24" x14ac:dyDescent="0.3">
      <c r="A1" s="7"/>
      <c r="B1" s="7"/>
      <c r="C1" s="7"/>
      <c r="D1" s="7"/>
      <c r="E1" s="7"/>
      <c r="F1" s="7"/>
      <c r="G1" s="7"/>
      <c r="H1" s="7"/>
      <c r="I1" s="7"/>
      <c r="J1" s="7"/>
      <c r="K1" s="7"/>
      <c r="L1" s="7"/>
      <c r="M1" s="7"/>
      <c r="N1" s="7"/>
      <c r="O1" s="7"/>
      <c r="P1" s="7"/>
      <c r="Q1" s="7"/>
      <c r="R1" s="7"/>
      <c r="S1" s="7"/>
      <c r="T1" s="7"/>
      <c r="U1" s="7"/>
      <c r="V1" s="7"/>
      <c r="W1" s="7"/>
      <c r="X1" s="7"/>
    </row>
    <row r="2" spans="1:24" x14ac:dyDescent="0.3">
      <c r="A2" s="7"/>
      <c r="B2" s="7"/>
      <c r="C2" s="7"/>
      <c r="D2" s="7"/>
      <c r="E2" s="7"/>
      <c r="F2" s="7"/>
      <c r="G2" s="7"/>
      <c r="H2" s="7"/>
      <c r="I2" s="7"/>
      <c r="J2" s="7"/>
      <c r="K2" s="7"/>
      <c r="L2" s="7"/>
      <c r="M2" s="7"/>
      <c r="N2" s="7"/>
      <c r="O2" s="7"/>
      <c r="P2" s="7"/>
      <c r="Q2" s="7"/>
      <c r="R2" s="7"/>
      <c r="S2" s="7"/>
      <c r="T2" s="7"/>
      <c r="U2" s="7"/>
      <c r="V2" s="7"/>
      <c r="W2" s="7"/>
      <c r="X2" s="7"/>
    </row>
    <row r="3" spans="1:24" x14ac:dyDescent="0.3">
      <c r="A3" s="7"/>
      <c r="B3" s="7"/>
      <c r="C3" s="7"/>
      <c r="D3" s="7"/>
      <c r="E3" s="7"/>
      <c r="F3" s="7"/>
      <c r="G3" s="7"/>
      <c r="H3" s="7"/>
      <c r="I3" s="7"/>
      <c r="J3" s="7"/>
      <c r="K3" s="7"/>
      <c r="L3" s="7"/>
      <c r="M3" s="7"/>
      <c r="N3" s="7"/>
      <c r="O3" s="7"/>
      <c r="P3" s="7"/>
      <c r="Q3" s="7"/>
      <c r="R3" s="7"/>
      <c r="S3" s="7"/>
      <c r="T3" s="7"/>
      <c r="U3" s="7"/>
      <c r="V3" s="7"/>
      <c r="W3" s="7"/>
      <c r="X3" s="7"/>
    </row>
    <row r="4" spans="1:24" x14ac:dyDescent="0.3">
      <c r="A4" s="7"/>
      <c r="B4" s="7"/>
      <c r="C4" s="7"/>
      <c r="D4" s="7"/>
      <c r="E4" s="7"/>
      <c r="F4" s="7"/>
      <c r="G4" s="7"/>
      <c r="H4" s="7"/>
      <c r="I4" s="7"/>
      <c r="J4" s="7"/>
      <c r="K4" s="7"/>
      <c r="L4" s="7"/>
      <c r="M4" s="7"/>
      <c r="N4" s="7"/>
      <c r="O4" s="7"/>
      <c r="P4" s="7"/>
      <c r="Q4" s="7"/>
      <c r="R4" s="7"/>
      <c r="S4" s="7"/>
      <c r="T4" s="7"/>
      <c r="U4" s="7"/>
      <c r="V4" s="7"/>
      <c r="W4" s="7"/>
      <c r="X4" s="7"/>
    </row>
    <row r="5" spans="1:24" x14ac:dyDescent="0.3">
      <c r="A5" s="7"/>
      <c r="B5" s="7"/>
      <c r="C5" s="7"/>
      <c r="D5" s="7"/>
      <c r="E5" s="7"/>
      <c r="F5" s="7"/>
      <c r="G5" s="7"/>
      <c r="H5" s="7"/>
      <c r="I5" s="7"/>
      <c r="J5" s="7"/>
      <c r="K5" s="7"/>
      <c r="L5" s="7"/>
      <c r="M5" s="7"/>
      <c r="N5" s="7"/>
      <c r="O5" s="7"/>
      <c r="P5" s="7"/>
      <c r="Q5" s="7"/>
      <c r="R5" s="7"/>
      <c r="S5" s="7"/>
      <c r="T5" s="7"/>
      <c r="U5" s="7"/>
      <c r="V5" s="7"/>
      <c r="W5" s="7"/>
      <c r="X5" s="7"/>
    </row>
    <row r="6" spans="1:24" x14ac:dyDescent="0.3">
      <c r="A6" s="7"/>
      <c r="B6" s="7"/>
      <c r="C6" s="7"/>
      <c r="D6" s="7"/>
      <c r="E6" s="7"/>
      <c r="F6" s="7"/>
      <c r="G6" s="7"/>
      <c r="H6" s="7"/>
      <c r="I6" s="7"/>
      <c r="J6" s="7"/>
      <c r="K6" s="7"/>
      <c r="L6" s="7"/>
      <c r="M6" s="7"/>
      <c r="N6" s="7"/>
      <c r="O6" s="7"/>
      <c r="P6" s="7"/>
      <c r="Q6" s="7"/>
      <c r="R6" s="7"/>
      <c r="S6" s="7"/>
      <c r="T6" s="7"/>
      <c r="U6" s="7"/>
      <c r="V6" s="7"/>
      <c r="W6" s="7"/>
      <c r="X6" s="7"/>
    </row>
    <row r="7" spans="1:24" x14ac:dyDescent="0.3">
      <c r="A7" s="7"/>
      <c r="B7" s="7"/>
      <c r="C7" s="7"/>
      <c r="D7" s="7"/>
      <c r="E7" s="7"/>
      <c r="F7" s="7"/>
      <c r="G7" s="7"/>
      <c r="H7" s="7"/>
      <c r="I7" s="7"/>
      <c r="J7" s="7"/>
      <c r="K7" s="7"/>
      <c r="L7" s="7"/>
      <c r="M7" s="7"/>
      <c r="N7" s="7"/>
      <c r="O7" s="7"/>
      <c r="P7" s="7"/>
      <c r="Q7" s="7"/>
      <c r="R7" s="7"/>
      <c r="S7" s="7"/>
      <c r="T7" s="7"/>
      <c r="U7" s="7"/>
      <c r="V7" s="7"/>
      <c r="W7" s="7"/>
      <c r="X7" s="7"/>
    </row>
    <row r="8" spans="1:24" x14ac:dyDescent="0.3">
      <c r="A8" s="7"/>
      <c r="B8" s="7"/>
      <c r="C8" s="7"/>
      <c r="D8" s="7"/>
      <c r="E8" s="7"/>
      <c r="F8" s="7"/>
      <c r="G8" s="7"/>
      <c r="H8" s="7"/>
      <c r="I8" s="7"/>
      <c r="J8" s="7"/>
      <c r="K8" s="7"/>
      <c r="L8" s="7"/>
      <c r="M8" s="7"/>
      <c r="N8" s="7"/>
      <c r="O8" s="7"/>
      <c r="P8" s="7"/>
      <c r="Q8" s="7"/>
      <c r="R8" s="7"/>
      <c r="S8" s="7"/>
      <c r="T8" s="7"/>
      <c r="U8" s="7"/>
      <c r="V8" s="7"/>
      <c r="W8" s="7"/>
      <c r="X8" s="7"/>
    </row>
    <row r="9" spans="1:24" x14ac:dyDescent="0.3">
      <c r="A9" s="7"/>
      <c r="B9" s="7"/>
      <c r="C9" s="7"/>
      <c r="D9" s="7"/>
      <c r="E9" s="7"/>
      <c r="F9" s="7"/>
      <c r="G9" s="7"/>
      <c r="H9" s="7"/>
      <c r="I9" s="7"/>
      <c r="J9" s="7"/>
      <c r="K9" s="7"/>
      <c r="L9" s="7"/>
      <c r="M9" s="7"/>
      <c r="N9" s="7"/>
      <c r="O9" s="7"/>
      <c r="P9" s="7"/>
      <c r="Q9" s="7"/>
      <c r="R9" s="7"/>
      <c r="S9" s="7"/>
      <c r="T9" s="7"/>
      <c r="U9" s="7"/>
      <c r="V9" s="7"/>
      <c r="W9" s="7"/>
      <c r="X9" s="7"/>
    </row>
    <row r="10" spans="1:24" x14ac:dyDescent="0.3">
      <c r="A10" s="7"/>
      <c r="B10" s="7"/>
      <c r="C10" s="7"/>
      <c r="D10" s="7"/>
      <c r="E10" s="7"/>
      <c r="F10" s="7"/>
      <c r="G10" s="7"/>
      <c r="H10" s="7"/>
      <c r="I10" s="7"/>
      <c r="J10" s="7"/>
      <c r="K10" s="7"/>
      <c r="L10" s="7"/>
      <c r="M10" s="7"/>
      <c r="N10" s="7"/>
      <c r="O10" s="7"/>
      <c r="P10" s="7"/>
      <c r="Q10" s="7"/>
      <c r="R10" s="7"/>
      <c r="S10" s="7"/>
      <c r="T10" s="7"/>
      <c r="U10" s="7"/>
      <c r="V10" s="7"/>
      <c r="W10" s="7"/>
      <c r="X10" s="7"/>
    </row>
    <row r="11" spans="1:24" x14ac:dyDescent="0.3">
      <c r="A11" s="7"/>
      <c r="B11" s="7"/>
      <c r="C11" s="7"/>
      <c r="D11" s="7"/>
      <c r="E11" s="7"/>
      <c r="F11" s="7"/>
      <c r="G11" s="7"/>
      <c r="H11" s="7"/>
      <c r="I11" s="7"/>
      <c r="J11" s="7"/>
      <c r="K11" s="7"/>
      <c r="L11" s="7"/>
      <c r="M11" s="7"/>
      <c r="N11" s="7"/>
      <c r="O11" s="7"/>
      <c r="P11" s="7"/>
      <c r="Q11" s="7"/>
      <c r="R11" s="7"/>
      <c r="S11" s="7"/>
      <c r="T11" s="7"/>
      <c r="U11" s="7"/>
      <c r="V11" s="7"/>
      <c r="W11" s="7"/>
      <c r="X11" s="7"/>
    </row>
    <row r="12" spans="1:24" x14ac:dyDescent="0.3">
      <c r="A12" s="7"/>
      <c r="B12" s="7"/>
      <c r="C12" s="7"/>
      <c r="D12" s="7"/>
      <c r="E12" s="7"/>
      <c r="F12" s="7"/>
      <c r="G12" s="7"/>
      <c r="H12" s="7"/>
      <c r="I12" s="7"/>
      <c r="J12" s="7"/>
      <c r="K12" s="7"/>
      <c r="L12" s="7"/>
      <c r="M12" s="7"/>
      <c r="N12" s="7"/>
      <c r="O12" s="7"/>
      <c r="P12" s="7"/>
      <c r="Q12" s="7"/>
      <c r="R12" s="7"/>
      <c r="S12" s="7"/>
      <c r="T12" s="7"/>
      <c r="U12" s="7"/>
      <c r="V12" s="7"/>
      <c r="W12" s="7"/>
      <c r="X12" s="7"/>
    </row>
    <row r="13" spans="1:24" x14ac:dyDescent="0.3">
      <c r="A13" s="7"/>
      <c r="B13" s="7"/>
      <c r="C13" s="7"/>
      <c r="D13" s="7"/>
      <c r="E13" s="7"/>
      <c r="F13" s="7"/>
      <c r="G13" s="7"/>
      <c r="H13" s="7"/>
      <c r="I13" s="7"/>
      <c r="J13" s="7"/>
      <c r="K13" s="7"/>
      <c r="L13" s="7"/>
      <c r="M13" s="7"/>
      <c r="N13" s="7"/>
      <c r="O13" s="7"/>
      <c r="P13" s="7"/>
      <c r="Q13" s="7"/>
      <c r="R13" s="7"/>
      <c r="S13" s="7"/>
      <c r="T13" s="7"/>
      <c r="U13" s="7"/>
      <c r="V13" s="7"/>
      <c r="W13" s="7"/>
      <c r="X13" s="7"/>
    </row>
    <row r="14" spans="1:24" x14ac:dyDescent="0.3">
      <c r="A14" s="7"/>
      <c r="B14" s="7"/>
      <c r="C14" s="7"/>
      <c r="D14" s="7"/>
      <c r="E14" s="7"/>
      <c r="F14" s="7"/>
      <c r="G14" s="7"/>
      <c r="H14" s="7"/>
      <c r="I14" s="7"/>
      <c r="J14" s="7"/>
      <c r="K14" s="7"/>
      <c r="L14" s="7"/>
      <c r="M14" s="7"/>
      <c r="N14" s="7"/>
      <c r="O14" s="7"/>
      <c r="P14" s="7"/>
      <c r="Q14" s="7"/>
      <c r="R14" s="7"/>
      <c r="S14" s="7"/>
      <c r="T14" s="7"/>
      <c r="U14" s="7"/>
      <c r="V14" s="7"/>
      <c r="W14" s="7"/>
      <c r="X14" s="7"/>
    </row>
    <row r="15" spans="1:24" x14ac:dyDescent="0.3">
      <c r="A15" s="7"/>
      <c r="B15" s="7"/>
      <c r="C15" s="7"/>
      <c r="D15" s="7"/>
      <c r="E15" s="7"/>
      <c r="F15" s="7"/>
      <c r="G15" s="7"/>
      <c r="H15" s="7"/>
      <c r="I15" s="7"/>
      <c r="J15" s="7"/>
      <c r="K15" s="7"/>
      <c r="L15" s="7"/>
      <c r="M15" s="7"/>
      <c r="N15" s="7"/>
      <c r="O15" s="7"/>
      <c r="P15" s="7"/>
      <c r="Q15" s="7"/>
      <c r="R15" s="7"/>
      <c r="S15" s="7"/>
      <c r="T15" s="7"/>
      <c r="U15" s="7"/>
      <c r="V15" s="7"/>
      <c r="W15" s="7"/>
      <c r="X15" s="7"/>
    </row>
    <row r="16" spans="1:24" x14ac:dyDescent="0.3">
      <c r="A16" s="7"/>
      <c r="B16" s="7"/>
      <c r="C16" s="7"/>
      <c r="D16" s="7"/>
      <c r="E16" s="7"/>
      <c r="F16" s="7"/>
      <c r="G16" s="7"/>
      <c r="H16" s="7"/>
      <c r="I16" s="7"/>
      <c r="J16" s="7"/>
      <c r="K16" s="7"/>
      <c r="L16" s="7"/>
      <c r="M16" s="7"/>
      <c r="N16" s="7"/>
      <c r="O16" s="7"/>
      <c r="P16" s="7"/>
      <c r="Q16" s="7"/>
      <c r="R16" s="7"/>
      <c r="S16" s="7"/>
      <c r="T16" s="7"/>
      <c r="U16" s="7"/>
      <c r="V16" s="7"/>
      <c r="W16" s="7"/>
      <c r="X16" s="7"/>
    </row>
    <row r="17" spans="1:24" x14ac:dyDescent="0.3">
      <c r="A17" s="7"/>
      <c r="B17" s="7"/>
      <c r="C17" s="7"/>
      <c r="D17" s="7"/>
      <c r="E17" s="7"/>
      <c r="F17" s="7"/>
      <c r="G17" s="7"/>
      <c r="H17" s="7"/>
      <c r="I17" s="7"/>
      <c r="J17" s="7"/>
      <c r="K17" s="7"/>
      <c r="L17" s="7"/>
      <c r="M17" s="7"/>
      <c r="N17" s="7"/>
      <c r="O17" s="7"/>
      <c r="P17" s="7"/>
      <c r="Q17" s="7"/>
      <c r="R17" s="7"/>
      <c r="S17" s="7"/>
      <c r="T17" s="7"/>
      <c r="U17" s="7"/>
      <c r="V17" s="7"/>
      <c r="W17" s="7"/>
      <c r="X17" s="7"/>
    </row>
    <row r="18" spans="1:24" x14ac:dyDescent="0.3">
      <c r="A18" s="7"/>
      <c r="B18" s="7"/>
      <c r="C18" s="7"/>
      <c r="D18" s="7"/>
      <c r="E18" s="7"/>
      <c r="F18" s="7"/>
      <c r="G18" s="7"/>
      <c r="H18" s="7"/>
      <c r="I18" s="7"/>
      <c r="J18" s="7"/>
      <c r="K18" s="7"/>
      <c r="L18" s="7"/>
      <c r="M18" s="7"/>
      <c r="N18" s="7"/>
      <c r="O18" s="7"/>
      <c r="P18" s="7"/>
      <c r="Q18" s="7"/>
      <c r="R18" s="7"/>
      <c r="S18" s="7"/>
      <c r="T18" s="7"/>
      <c r="U18" s="7"/>
      <c r="V18" s="7"/>
      <c r="W18" s="7"/>
      <c r="X18" s="7"/>
    </row>
    <row r="19" spans="1:24" x14ac:dyDescent="0.3">
      <c r="A19" s="7"/>
      <c r="B19" s="7"/>
      <c r="C19" s="7"/>
      <c r="D19" s="7"/>
      <c r="E19" s="7"/>
      <c r="F19" s="7"/>
      <c r="G19" s="7"/>
      <c r="H19" s="7"/>
      <c r="I19" s="7"/>
      <c r="J19" s="7"/>
      <c r="K19" s="7"/>
      <c r="L19" s="7"/>
      <c r="M19" s="7"/>
      <c r="N19" s="7"/>
      <c r="O19" s="7"/>
      <c r="P19" s="7"/>
      <c r="Q19" s="7"/>
      <c r="R19" s="7"/>
      <c r="S19" s="7"/>
      <c r="T19" s="7"/>
      <c r="U19" s="7"/>
      <c r="V19" s="7"/>
      <c r="W19" s="7"/>
      <c r="X19" s="7"/>
    </row>
    <row r="20" spans="1:24" x14ac:dyDescent="0.3">
      <c r="A20" s="7"/>
      <c r="B20" s="7"/>
      <c r="C20" s="7"/>
      <c r="D20" s="7"/>
      <c r="E20" s="7"/>
      <c r="F20" s="7"/>
      <c r="G20" s="7"/>
      <c r="H20" s="7"/>
      <c r="I20" s="7"/>
      <c r="J20" s="7"/>
      <c r="K20" s="7"/>
      <c r="L20" s="7"/>
      <c r="M20" s="7"/>
      <c r="N20" s="7"/>
      <c r="O20" s="7"/>
      <c r="P20" s="7"/>
      <c r="Q20" s="7"/>
      <c r="R20" s="7"/>
      <c r="S20" s="7"/>
      <c r="T20" s="7"/>
      <c r="U20" s="7"/>
      <c r="V20" s="7"/>
      <c r="W20" s="7"/>
      <c r="X20" s="7"/>
    </row>
    <row r="21" spans="1:24" x14ac:dyDescent="0.3">
      <c r="A21" s="7"/>
      <c r="B21" s="7"/>
      <c r="C21" s="7"/>
      <c r="D21" s="7"/>
      <c r="E21" s="7"/>
      <c r="F21" s="7"/>
      <c r="G21" s="7"/>
      <c r="H21" s="7"/>
      <c r="I21" s="7"/>
      <c r="J21" s="7"/>
      <c r="K21" s="7"/>
      <c r="L21" s="7"/>
      <c r="M21" s="7"/>
      <c r="N21" s="7"/>
      <c r="O21" s="7"/>
      <c r="P21" s="7"/>
      <c r="Q21" s="7"/>
      <c r="R21" s="7"/>
      <c r="S21" s="7"/>
      <c r="T21" s="7"/>
      <c r="U21" s="7"/>
      <c r="V21" s="7"/>
      <c r="W21" s="7"/>
      <c r="X21" s="7"/>
    </row>
    <row r="22" spans="1:24" x14ac:dyDescent="0.3">
      <c r="A22" s="7"/>
      <c r="B22" s="7"/>
      <c r="C22" s="7"/>
      <c r="D22" s="7"/>
      <c r="E22" s="7"/>
      <c r="F22" s="7"/>
      <c r="G22" s="7"/>
      <c r="H22" s="7"/>
      <c r="I22" s="7"/>
      <c r="J22" s="7"/>
      <c r="K22" s="7"/>
      <c r="L22" s="7"/>
      <c r="M22" s="7"/>
      <c r="N22" s="7"/>
      <c r="O22" s="7"/>
      <c r="P22" s="7"/>
      <c r="Q22" s="7"/>
      <c r="R22" s="7"/>
      <c r="S22" s="7"/>
      <c r="T22" s="7"/>
      <c r="U22" s="7"/>
      <c r="V22" s="7"/>
      <c r="W22" s="7"/>
      <c r="X22" s="7"/>
    </row>
    <row r="23" spans="1:24" x14ac:dyDescent="0.3">
      <c r="A23" s="7"/>
      <c r="B23" s="7"/>
      <c r="C23" s="7"/>
      <c r="D23" s="7"/>
      <c r="E23" s="7"/>
      <c r="F23" s="7"/>
      <c r="G23" s="7"/>
      <c r="H23" s="7"/>
      <c r="I23" s="7"/>
      <c r="J23" s="7"/>
      <c r="K23" s="7"/>
      <c r="L23" s="7"/>
      <c r="M23" s="7"/>
      <c r="N23" s="7"/>
      <c r="O23" s="7"/>
      <c r="P23" s="7"/>
      <c r="Q23" s="7"/>
      <c r="R23" s="7"/>
      <c r="S23" s="7"/>
      <c r="T23" s="7"/>
      <c r="U23" s="7"/>
      <c r="V23" s="7"/>
      <c r="W23" s="7"/>
      <c r="X23" s="7"/>
    </row>
    <row r="24" spans="1:24" x14ac:dyDescent="0.3">
      <c r="A24" s="7"/>
      <c r="B24" s="7"/>
      <c r="C24" s="7"/>
      <c r="D24" s="7"/>
      <c r="E24" s="7"/>
      <c r="F24" s="7"/>
      <c r="G24" s="7"/>
      <c r="H24" s="7"/>
      <c r="I24" s="7"/>
      <c r="J24" s="7"/>
      <c r="K24" s="7"/>
      <c r="L24" s="7"/>
      <c r="M24" s="7"/>
      <c r="N24" s="7"/>
      <c r="O24" s="7"/>
      <c r="P24" s="7"/>
      <c r="Q24" s="7"/>
      <c r="R24" s="7"/>
      <c r="S24" s="7"/>
      <c r="T24" s="7"/>
      <c r="U24" s="7"/>
      <c r="V24" s="7"/>
      <c r="W24" s="7"/>
      <c r="X24" s="7"/>
    </row>
    <row r="25" spans="1:24" x14ac:dyDescent="0.3">
      <c r="A25" s="7"/>
      <c r="B25" s="7"/>
      <c r="C25" s="7"/>
      <c r="D25" s="7"/>
      <c r="E25" s="7"/>
      <c r="F25" s="7"/>
      <c r="G25" s="7"/>
      <c r="H25" s="7"/>
      <c r="I25" s="7"/>
      <c r="J25" s="7"/>
      <c r="K25" s="7"/>
      <c r="L25" s="7"/>
      <c r="M25" s="7"/>
      <c r="N25" s="7"/>
      <c r="O25" s="7"/>
      <c r="P25" s="7"/>
      <c r="Q25" s="7"/>
      <c r="R25" s="7"/>
      <c r="S25" s="7"/>
      <c r="T25" s="7"/>
      <c r="U25" s="7"/>
      <c r="V25" s="7"/>
      <c r="W25" s="7"/>
      <c r="X25" s="7"/>
    </row>
    <row r="26" spans="1:24" x14ac:dyDescent="0.3">
      <c r="A26" s="7"/>
      <c r="B26" s="7"/>
      <c r="C26" s="7"/>
      <c r="D26" s="7"/>
      <c r="E26" s="7"/>
      <c r="F26" s="7"/>
      <c r="G26" s="7"/>
      <c r="H26" s="7"/>
      <c r="I26" s="7"/>
      <c r="J26" s="7"/>
      <c r="K26" s="7"/>
      <c r="L26" s="7"/>
      <c r="M26" s="7"/>
      <c r="N26" s="7"/>
      <c r="O26" s="7"/>
      <c r="P26" s="7"/>
      <c r="Q26" s="7"/>
      <c r="R26" s="7"/>
      <c r="S26" s="7"/>
      <c r="T26" s="7"/>
      <c r="U26" s="7"/>
      <c r="V26" s="7"/>
      <c r="W26" s="7"/>
      <c r="X26" s="7"/>
    </row>
    <row r="27" spans="1:24" x14ac:dyDescent="0.3">
      <c r="A27" s="7"/>
      <c r="B27" s="7"/>
      <c r="C27" s="7"/>
      <c r="D27" s="7"/>
      <c r="E27" s="7"/>
      <c r="F27" s="7"/>
      <c r="G27" s="7"/>
      <c r="H27" s="7"/>
      <c r="I27" s="7"/>
      <c r="J27" s="7"/>
      <c r="K27" s="7"/>
      <c r="L27" s="7"/>
      <c r="M27" s="7"/>
      <c r="N27" s="7"/>
      <c r="O27" s="7"/>
      <c r="P27" s="7"/>
      <c r="Q27" s="7"/>
      <c r="R27" s="7"/>
      <c r="S27" s="7"/>
      <c r="T27" s="7"/>
      <c r="U27" s="7"/>
      <c r="V27" s="7"/>
      <c r="W27" s="7"/>
      <c r="X27" s="7"/>
    </row>
    <row r="28" spans="1:24" x14ac:dyDescent="0.3">
      <c r="A28" s="7"/>
      <c r="B28" s="7"/>
      <c r="C28" s="7"/>
      <c r="D28" s="7"/>
      <c r="E28" s="7"/>
      <c r="F28" s="7"/>
      <c r="G28" s="7"/>
      <c r="H28" s="7"/>
      <c r="I28" s="7"/>
      <c r="J28" s="7"/>
      <c r="K28" s="7"/>
      <c r="L28" s="7"/>
      <c r="M28" s="7"/>
      <c r="N28" s="7"/>
      <c r="O28" s="7"/>
      <c r="P28" s="7"/>
      <c r="Q28" s="7"/>
      <c r="R28" s="7"/>
      <c r="S28" s="7"/>
      <c r="T28" s="7"/>
      <c r="U28" s="7"/>
      <c r="V28" s="7"/>
      <c r="W28" s="7"/>
      <c r="X28" s="7"/>
    </row>
    <row r="29" spans="1:24" x14ac:dyDescent="0.3">
      <c r="A29" s="7"/>
      <c r="B29" s="7"/>
      <c r="C29" s="7"/>
      <c r="D29" s="7"/>
      <c r="E29" s="7"/>
      <c r="F29" s="7"/>
      <c r="G29" s="7"/>
      <c r="H29" s="7"/>
      <c r="I29" s="7"/>
      <c r="J29" s="7"/>
      <c r="K29" s="7"/>
      <c r="L29" s="7"/>
      <c r="M29" s="7"/>
      <c r="N29" s="7"/>
      <c r="O29" s="7"/>
      <c r="P29" s="7"/>
      <c r="Q29" s="7"/>
      <c r="R29" s="7"/>
      <c r="S29" s="7"/>
      <c r="T29" s="7"/>
      <c r="U29" s="7"/>
      <c r="V29" s="7"/>
      <c r="W29" s="7"/>
      <c r="X29" s="7"/>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57AD42-0B8D-4726-A7AF-46A65F295419}">
  <dimension ref="A1"/>
  <sheetViews>
    <sheetView workbookViewId="0"/>
  </sheetViews>
  <sheetFormatPr defaultRowHeight="14.4" x14ac:dyDescent="0.3"/>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Props1.xml><?xml version="1.0" encoding="utf-8"?>
<ds:datastoreItem xmlns:ds="http://schemas.openxmlformats.org/officeDocument/2006/customXml" ds:itemID="{AA2E8885-7EAE-4B3B-BD86-89C58A271D07}">
  <ds:schemaRefs/>
</ds:datastoreItem>
</file>

<file path=customXml/itemProps2.xml><?xml version="1.0" encoding="utf-8"?>
<ds:datastoreItem xmlns:ds="http://schemas.openxmlformats.org/officeDocument/2006/customXml" ds:itemID="{319C4731-127B-4877-8147-C911F13A2830}">
  <ds:schemaRefs/>
</ds:datastoreItem>
</file>

<file path=customXml/itemProps3.xml><?xml version="1.0" encoding="utf-8"?>
<ds:datastoreItem xmlns:ds="http://schemas.openxmlformats.org/officeDocument/2006/customXml" ds:itemID="{C0F7537A-54AB-4582-8576-ACCFDE12169D}">
  <ds:schemaRefs/>
</ds:datastoreItem>
</file>

<file path=customXml/itemProps4.xml><?xml version="1.0" encoding="utf-8"?>
<ds:datastoreItem xmlns:ds="http://schemas.openxmlformats.org/officeDocument/2006/customXml" ds:itemID="{8600FFF1-38EB-4917-83E1-89247E77B942}">
  <ds:schemaRefs/>
</ds:datastoreItem>
</file>

<file path=customXml/itemProps5.xml><?xml version="1.0" encoding="utf-8"?>
<ds:datastoreItem xmlns:ds="http://schemas.openxmlformats.org/officeDocument/2006/customXml" ds:itemID="{D537A099-BFC4-44C2-927B-C70ABF93786D}">
  <ds:schemaRefs/>
</ds:datastoreItem>
</file>

<file path=customXml/itemProps6.xml><?xml version="1.0" encoding="utf-8"?>
<ds:datastoreItem xmlns:ds="http://schemas.openxmlformats.org/officeDocument/2006/customXml" ds:itemID="{8BCC8401-04B3-4BBE-8EDE-C8959594C5AB}">
  <ds:schemaRefs/>
</ds:datastoreItem>
</file>

<file path=customXml/itemProps7.xml><?xml version="1.0" encoding="utf-8"?>
<ds:datastoreItem xmlns:ds="http://schemas.openxmlformats.org/officeDocument/2006/customXml" ds:itemID="{CCF04640-5442-4E9E-A4D1-F1AEC65E6DEC}">
  <ds:schemaRefs/>
</ds:datastoreItem>
</file>

<file path=customXml/itemProps8.xml><?xml version="1.0" encoding="utf-8"?>
<ds:datastoreItem xmlns:ds="http://schemas.openxmlformats.org/officeDocument/2006/customXml" ds:itemID="{E7698CF2-3FFB-40DC-A58A-FB2D45357FD4}">
  <ds:schemaRefs/>
</ds:datastoreItem>
</file>

<file path=customXml/itemProps9.xml><?xml version="1.0" encoding="utf-8"?>
<ds:datastoreItem xmlns:ds="http://schemas.openxmlformats.org/officeDocument/2006/customXml" ds:itemID="{01601DCE-73C9-4FE0-9631-3A90A91E169E}">
  <ds:schemaRefs/>
</ds:datastoreItem>
</file>

<file path=customXml/itemProps10.xml><?xml version="1.0" encoding="utf-8"?>
<ds:datastoreItem xmlns:ds="http://schemas.openxmlformats.org/officeDocument/2006/customXml" ds:itemID="{E245E3B7-3BA8-4204-8828-FAF707391336}">
  <ds:schemaRefs/>
</ds:datastoreItem>
</file>

<file path=customXml/itemProps11.xml><?xml version="1.0" encoding="utf-8"?>
<ds:datastoreItem xmlns:ds="http://schemas.openxmlformats.org/officeDocument/2006/customXml" ds:itemID="{8021048B-1F96-4989-9F9C-CA60ACBFCFA2}">
  <ds:schemaRefs>
    <ds:schemaRef ds:uri="http://schemas.microsoft.com/DataMashup"/>
  </ds:schemaRefs>
</ds:datastoreItem>
</file>

<file path=customXml/itemProps12.xml><?xml version="1.0" encoding="utf-8"?>
<ds:datastoreItem xmlns:ds="http://schemas.openxmlformats.org/officeDocument/2006/customXml" ds:itemID="{B3848562-A787-4470-948F-A2A1114DD09A}">
  <ds:schemaRefs/>
</ds:datastoreItem>
</file>

<file path=customXml/itemProps13.xml><?xml version="1.0" encoding="utf-8"?>
<ds:datastoreItem xmlns:ds="http://schemas.openxmlformats.org/officeDocument/2006/customXml" ds:itemID="{8762EA24-1FC4-45DA-A992-A8E3853A08CB}">
  <ds:schemaRefs/>
</ds:datastoreItem>
</file>

<file path=customXml/itemProps14.xml><?xml version="1.0" encoding="utf-8"?>
<ds:datastoreItem xmlns:ds="http://schemas.openxmlformats.org/officeDocument/2006/customXml" ds:itemID="{8533D853-1CF3-4B63-8802-AD5A5BC93758}">
  <ds:schemaRefs/>
</ds:datastoreItem>
</file>

<file path=customXml/itemProps15.xml><?xml version="1.0" encoding="utf-8"?>
<ds:datastoreItem xmlns:ds="http://schemas.openxmlformats.org/officeDocument/2006/customXml" ds:itemID="{4F9EA671-5622-489A-B519-7E19EBBE2876}">
  <ds:schemaRefs/>
</ds:datastoreItem>
</file>

<file path=customXml/itemProps16.xml><?xml version="1.0" encoding="utf-8"?>
<ds:datastoreItem xmlns:ds="http://schemas.openxmlformats.org/officeDocument/2006/customXml" ds:itemID="{DFDB2F4E-B073-45E2-A58C-25E5033B8614}">
  <ds:schemaRefs/>
</ds:datastoreItem>
</file>

<file path=customXml/itemProps17.xml><?xml version="1.0" encoding="utf-8"?>
<ds:datastoreItem xmlns:ds="http://schemas.openxmlformats.org/officeDocument/2006/customXml" ds:itemID="{0257FEFD-1E9F-48BE-9B3F-F8FC2C3A9F77}">
  <ds:schemaRefs/>
</ds:datastoreItem>
</file>

<file path=customXml/itemProps18.xml><?xml version="1.0" encoding="utf-8"?>
<ds:datastoreItem xmlns:ds="http://schemas.openxmlformats.org/officeDocument/2006/customXml" ds:itemID="{23702874-1DE5-49E7-BC78-33E3254AC372}">
  <ds:schemaRefs/>
</ds:datastoreItem>
</file>

<file path=customXml/itemProps19.xml><?xml version="1.0" encoding="utf-8"?>
<ds:datastoreItem xmlns:ds="http://schemas.openxmlformats.org/officeDocument/2006/customXml" ds:itemID="{8DC01C13-D05F-4233-B9A9-54BD7D0015D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dashboard (2)</vt:lpstr>
      <vt:lpstr>chart</vt:lpstr>
      <vt:lpstr>Merge1</vt:lpstr>
      <vt:lpstr>top 5 institute</vt:lpstr>
      <vt:lpstr>Institute_ranking</vt:lpstr>
      <vt:lpstr>Institute_location</vt:lpstr>
      <vt:lpstr>Institute_details</vt:lpstr>
      <vt:lpstr>kpis</vt:lpstr>
      <vt:lpstr>dashboard</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YASWANTH</dc:creator>
  <cp:lastModifiedBy>Yaswanthnagasai Tadiboina</cp:lastModifiedBy>
  <dcterms:created xsi:type="dcterms:W3CDTF">2015-06-05T18:17:20Z</dcterms:created>
  <dcterms:modified xsi:type="dcterms:W3CDTF">2025-09-23T13:37:45Z</dcterms:modified>
</cp:coreProperties>
</file>